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0" yWindow="0" windowWidth="4800" windowHeight="5220"/>
  </bookViews>
  <sheets>
    <sheet name="Vestidos MARIANA" sheetId="17" r:id="rId1"/>
    <sheet name="Hoja3" sheetId="3" r:id="rId2"/>
    <sheet name="Hoja4" sheetId="4" r:id="rId3"/>
    <sheet name="Hoja5" sheetId="5" r:id="rId4"/>
    <sheet name="Hoja6" sheetId="6" r:id="rId5"/>
    <sheet name="Hoja7" sheetId="7" r:id="rId6"/>
    <sheet name="Hoja8" sheetId="8" r:id="rId7"/>
    <sheet name="Hoja9" sheetId="9" r:id="rId8"/>
    <sheet name="Hoja10" sheetId="10" r:id="rId9"/>
    <sheet name="Hoja11" sheetId="11" r:id="rId10"/>
    <sheet name="Hoja12" sheetId="12" r:id="rId11"/>
    <sheet name="Hoja13" sheetId="13" r:id="rId12"/>
    <sheet name="Hoja14" sheetId="14" r:id="rId13"/>
    <sheet name="Hoja15" sheetId="15" r:id="rId14"/>
    <sheet name="Hoja16" sheetId="16" r:id="rId15"/>
  </sheets>
  <definedNames>
    <definedName name="_xlnm.Print_Area" localSheetId="0">'Vestidos MARIANA'!$A$1:$I$240</definedName>
  </definedNames>
  <calcPr calcId="145621"/>
  <customWorkbookViews>
    <customWorkbookView name="titulo (Hoja2 )" guid="{D1A81860-FA39-11D2-9339-A5851295DF2A}" maximized="1" xWindow="2" yWindow="2" windowWidth="636" windowHeight="340" activeSheetId="1"/>
  </customWorkbookViews>
</workbook>
</file>

<file path=xl/calcChain.xml><?xml version="1.0" encoding="utf-8"?>
<calcChain xmlns="http://schemas.openxmlformats.org/spreadsheetml/2006/main">
  <c r="H55" i="17" l="1"/>
  <c r="F55" i="17"/>
  <c r="G55" i="17" s="1"/>
  <c r="H16" i="17" l="1"/>
  <c r="F16" i="17"/>
  <c r="G16" i="17" s="1"/>
  <c r="H25" i="17" l="1"/>
  <c r="F25" i="17"/>
  <c r="G25" i="17" s="1"/>
  <c r="H56" i="17" l="1"/>
  <c r="F56" i="17"/>
  <c r="G56" i="17" s="1"/>
  <c r="H197" i="17"/>
  <c r="F197" i="17"/>
  <c r="G197" i="17" s="1"/>
  <c r="H196" i="17" l="1"/>
  <c r="F196" i="17"/>
  <c r="G196" i="17" s="1"/>
  <c r="H173" i="17" l="1"/>
  <c r="F173" i="17"/>
  <c r="G173" i="17" s="1"/>
  <c r="H154" i="17"/>
  <c r="F154" i="17"/>
  <c r="G154" i="17" s="1"/>
  <c r="H177" i="17"/>
  <c r="F177" i="17"/>
  <c r="G177" i="17" s="1"/>
  <c r="H108" i="17" l="1"/>
  <c r="F108" i="17"/>
  <c r="G108" i="17" s="1"/>
  <c r="H53" i="17" l="1"/>
  <c r="F53" i="17"/>
  <c r="G53" i="17" s="1"/>
  <c r="H33" i="17"/>
  <c r="F33" i="17"/>
  <c r="G33" i="17" s="1"/>
  <c r="H195" i="17"/>
  <c r="F195" i="17"/>
  <c r="G195" i="17" s="1"/>
  <c r="H155" i="17" l="1"/>
  <c r="F155" i="17"/>
  <c r="G155" i="17" s="1"/>
  <c r="H153" i="17"/>
  <c r="F153" i="17"/>
  <c r="G153" i="17" s="1"/>
  <c r="H115" i="17"/>
  <c r="F115" i="17"/>
  <c r="G115" i="17" s="1"/>
  <c r="H20" i="17"/>
  <c r="F20" i="17"/>
  <c r="G20" i="17" s="1"/>
  <c r="H19" i="17"/>
  <c r="F19" i="17"/>
  <c r="G19" i="17" s="1"/>
  <c r="F194" i="17" l="1"/>
  <c r="G194" i="17" s="1"/>
  <c r="H194" i="17"/>
  <c r="H52" i="17" l="1"/>
  <c r="F52" i="17"/>
  <c r="G52" i="17" s="1"/>
  <c r="H182" i="17" l="1"/>
  <c r="F182" i="17"/>
  <c r="G182" i="17" s="1"/>
  <c r="F180" i="17"/>
  <c r="G180" i="17" s="1"/>
  <c r="H180" i="17"/>
  <c r="F181" i="17"/>
  <c r="G181" i="17" s="1"/>
  <c r="H181" i="17"/>
  <c r="F183" i="17"/>
  <c r="G183" i="17" s="1"/>
  <c r="H183" i="17"/>
  <c r="H107" i="17" l="1"/>
  <c r="F107" i="17"/>
  <c r="G107" i="17" s="1"/>
  <c r="H54" i="17" l="1"/>
  <c r="F54" i="17"/>
  <c r="G54" i="17" s="1"/>
  <c r="H23" i="17" l="1"/>
  <c r="F23" i="17"/>
  <c r="G23" i="17" s="1"/>
  <c r="H175" i="17" l="1"/>
  <c r="F175" i="17"/>
  <c r="G175" i="17" s="1"/>
  <c r="H152" i="17"/>
  <c r="F152" i="17"/>
  <c r="G152" i="17" s="1"/>
  <c r="H174" i="17"/>
  <c r="F174" i="17"/>
  <c r="G174" i="17" s="1"/>
  <c r="H157" i="17"/>
  <c r="F157" i="17"/>
  <c r="G157" i="17" s="1"/>
  <c r="H168" i="17"/>
  <c r="F168" i="17"/>
  <c r="G168" i="17" s="1"/>
  <c r="H51" i="17" l="1"/>
  <c r="F51" i="17"/>
  <c r="G51" i="17" s="1"/>
  <c r="H49" i="17" l="1"/>
  <c r="F49" i="17"/>
  <c r="G49" i="17" s="1"/>
  <c r="H48" i="17" l="1"/>
  <c r="F48" i="17"/>
  <c r="G48" i="17" s="1"/>
  <c r="H50" i="17"/>
  <c r="F50" i="17"/>
  <c r="G50" i="17" s="1"/>
  <c r="H213" i="17" l="1"/>
  <c r="F213" i="17"/>
  <c r="G213" i="17" s="1"/>
  <c r="H45" i="17" l="1"/>
  <c r="F45" i="17"/>
  <c r="G45" i="17" s="1"/>
  <c r="H47" i="17" l="1"/>
  <c r="F47" i="17"/>
  <c r="G47" i="17" s="1"/>
  <c r="H147" i="17"/>
  <c r="F147" i="17"/>
  <c r="G147" i="17" s="1"/>
  <c r="H166" i="17"/>
  <c r="F166" i="17"/>
  <c r="G166" i="17" s="1"/>
  <c r="H143" i="17"/>
  <c r="F143" i="17"/>
  <c r="G143" i="17" s="1"/>
  <c r="H170" i="17"/>
  <c r="F170" i="17"/>
  <c r="G170" i="17" s="1"/>
  <c r="H46" i="17" l="1"/>
  <c r="F46" i="17"/>
  <c r="G46" i="17" s="1"/>
  <c r="F176" i="17" l="1"/>
  <c r="G176" i="17" s="1"/>
  <c r="H43" i="17" l="1"/>
  <c r="F43" i="17"/>
  <c r="G43" i="17" s="1"/>
  <c r="H149" i="17"/>
  <c r="F149" i="17"/>
  <c r="G149" i="17" s="1"/>
  <c r="F150" i="17"/>
  <c r="G150" i="17" s="1"/>
  <c r="H150" i="17"/>
  <c r="H176" i="17"/>
  <c r="H146" i="17"/>
  <c r="F146" i="17"/>
  <c r="G146" i="17" s="1"/>
  <c r="H167" i="17"/>
  <c r="F167" i="17"/>
  <c r="G167" i="17" s="1"/>
  <c r="H148" i="17"/>
  <c r="F148" i="17"/>
  <c r="G148" i="17" s="1"/>
  <c r="H106" i="17" l="1"/>
  <c r="F106" i="17"/>
  <c r="G106" i="17" s="1"/>
  <c r="H105" i="17" l="1"/>
  <c r="F105" i="17"/>
  <c r="G105" i="17" s="1"/>
  <c r="H44" i="17" l="1"/>
  <c r="F44" i="17"/>
  <c r="G44" i="17" s="1"/>
  <c r="H42" i="17"/>
  <c r="F42" i="17"/>
  <c r="G42" i="17" s="1"/>
  <c r="H40" i="17" l="1"/>
  <c r="F40" i="17"/>
  <c r="G40" i="17" s="1"/>
  <c r="H37" i="17" l="1"/>
  <c r="F37" i="17"/>
  <c r="G37" i="17" s="1"/>
  <c r="H205" i="17" l="1"/>
  <c r="F205" i="17"/>
  <c r="G205" i="17" s="1"/>
  <c r="H104" i="17" l="1"/>
  <c r="F104" i="17"/>
  <c r="G104" i="17" s="1"/>
  <c r="H118" i="17" l="1"/>
  <c r="F118" i="17"/>
  <c r="G118" i="17" s="1"/>
  <c r="H41" i="17" l="1"/>
  <c r="F41" i="17"/>
  <c r="G41" i="17" s="1"/>
  <c r="H39" i="17" l="1"/>
  <c r="F39" i="17"/>
  <c r="G39" i="17" s="1"/>
  <c r="H110" i="17" l="1"/>
  <c r="F110" i="17"/>
  <c r="G110" i="17" s="1"/>
  <c r="H193" i="17"/>
  <c r="F193" i="17"/>
  <c r="G193" i="17" s="1"/>
  <c r="H186" i="17" l="1"/>
  <c r="F186" i="17"/>
  <c r="G186" i="17" s="1"/>
  <c r="H103" i="17" l="1"/>
  <c r="F103" i="17"/>
  <c r="G103" i="17" s="1"/>
  <c r="H34" i="17"/>
  <c r="F34" i="17"/>
  <c r="G34" i="17" s="1"/>
  <c r="H36" i="17" l="1"/>
  <c r="F36" i="17"/>
  <c r="G36" i="17" s="1"/>
  <c r="H164" i="17" l="1"/>
  <c r="F164" i="17"/>
  <c r="G164" i="17" s="1"/>
  <c r="H171" i="17"/>
  <c r="F171" i="17"/>
  <c r="G171" i="17" s="1"/>
  <c r="H172" i="17"/>
  <c r="F172" i="17"/>
  <c r="G172" i="17" s="1"/>
  <c r="H38" i="17" l="1"/>
  <c r="F38" i="17"/>
  <c r="G38" i="17" s="1"/>
  <c r="H160" i="17" l="1"/>
  <c r="F160" i="17"/>
  <c r="G160" i="17" s="1"/>
  <c r="H151" i="17"/>
  <c r="F151" i="17"/>
  <c r="G151" i="17" s="1"/>
  <c r="H161" i="17"/>
  <c r="F161" i="17"/>
  <c r="G161" i="17" s="1"/>
  <c r="H169" i="17"/>
  <c r="F169" i="17"/>
  <c r="G169" i="17" s="1"/>
  <c r="H159" i="17"/>
  <c r="F159" i="17"/>
  <c r="G159" i="17" s="1"/>
  <c r="H163" i="17"/>
  <c r="F163" i="17"/>
  <c r="G163" i="17" s="1"/>
  <c r="H28" i="17" l="1"/>
  <c r="F28" i="17"/>
  <c r="G28" i="17" s="1"/>
  <c r="H209" i="17" l="1"/>
  <c r="F209" i="17"/>
  <c r="G209" i="17" s="1"/>
  <c r="H162" i="17"/>
  <c r="F162" i="17"/>
  <c r="G162" i="17" s="1"/>
  <c r="H158" i="17"/>
  <c r="F158" i="17"/>
  <c r="G158" i="17" s="1"/>
  <c r="H165" i="17"/>
  <c r="F165" i="17"/>
  <c r="G165" i="17" s="1"/>
  <c r="H30" i="17" l="1"/>
  <c r="F30" i="17"/>
  <c r="G30" i="17" s="1"/>
  <c r="H12" i="17" l="1"/>
  <c r="F12" i="17"/>
  <c r="G12" i="17" s="1"/>
  <c r="H31" i="17" l="1"/>
  <c r="F31" i="17"/>
  <c r="G31" i="17" s="1"/>
  <c r="H35" i="17" l="1"/>
  <c r="F35" i="17"/>
  <c r="G35" i="17" s="1"/>
  <c r="H29" i="17"/>
  <c r="F29" i="17"/>
  <c r="G29" i="17" s="1"/>
  <c r="H91" i="17" l="1"/>
  <c r="F91" i="17"/>
  <c r="G91" i="17" s="1"/>
  <c r="H26" i="17" l="1"/>
  <c r="F26" i="17"/>
  <c r="G26" i="17" s="1"/>
  <c r="H32" i="17" l="1"/>
  <c r="F32" i="17"/>
  <c r="G32" i="17" s="1"/>
  <c r="H192" i="17" l="1"/>
  <c r="F192" i="17"/>
  <c r="G192" i="17" s="1"/>
  <c r="H13" i="17" l="1"/>
  <c r="F13" i="17"/>
  <c r="G13" i="17" s="1"/>
  <c r="H212" i="17" l="1"/>
  <c r="F212" i="17"/>
  <c r="G212" i="17" s="1"/>
  <c r="H90" i="17" l="1"/>
  <c r="F90" i="17"/>
  <c r="G90" i="17" s="1"/>
  <c r="H210" i="17" l="1"/>
  <c r="F210" i="17"/>
  <c r="G210" i="17" s="1"/>
  <c r="H211" i="17" l="1"/>
  <c r="F211" i="17"/>
  <c r="G211" i="17" s="1"/>
  <c r="H142" i="17" l="1"/>
  <c r="F142" i="17"/>
  <c r="G142" i="17" s="1"/>
  <c r="H156" i="17"/>
  <c r="F156" i="17"/>
  <c r="G156" i="17" s="1"/>
  <c r="H27" i="17" l="1"/>
  <c r="F27" i="17"/>
  <c r="G27" i="17" s="1"/>
  <c r="H101" i="17" l="1"/>
  <c r="F101" i="17"/>
  <c r="G101" i="17" s="1"/>
  <c r="H102" i="17" l="1"/>
  <c r="F102" i="17"/>
  <c r="G102" i="17" s="1"/>
  <c r="H191" i="17" l="1"/>
  <c r="F191" i="17"/>
  <c r="G191" i="17" s="1"/>
  <c r="H206" i="17" l="1"/>
  <c r="F206" i="17"/>
  <c r="G206" i="17" s="1"/>
  <c r="H208" i="17" l="1"/>
  <c r="F208" i="17"/>
  <c r="G208" i="17" s="1"/>
  <c r="H207" i="17"/>
  <c r="F207" i="17"/>
  <c r="G207" i="17" s="1"/>
  <c r="H204" i="17"/>
  <c r="F204" i="17"/>
  <c r="G204" i="17" s="1"/>
  <c r="H139" i="17" l="1"/>
  <c r="F139" i="17"/>
  <c r="G139" i="17" s="1"/>
  <c r="H99" i="17"/>
  <c r="F99" i="17"/>
  <c r="G99" i="17" s="1"/>
  <c r="H100" i="17" l="1"/>
  <c r="F100" i="17"/>
  <c r="G100" i="17" s="1"/>
  <c r="H24" i="17" l="1"/>
  <c r="F24" i="17"/>
  <c r="G24" i="17" s="1"/>
  <c r="H198" i="17"/>
  <c r="F198" i="17"/>
  <c r="G198" i="17" s="1"/>
  <c r="H11" i="17" l="1"/>
  <c r="F11" i="17"/>
  <c r="G11" i="17" s="1"/>
  <c r="H188" i="17" l="1"/>
  <c r="F188" i="17"/>
  <c r="G188" i="17" s="1"/>
  <c r="H221" i="17" l="1"/>
  <c r="F221" i="17"/>
  <c r="G221" i="17" s="1"/>
  <c r="H220" i="17"/>
  <c r="F220" i="17"/>
  <c r="G220" i="17" s="1"/>
  <c r="H190" i="17" l="1"/>
  <c r="F190" i="17"/>
  <c r="G190" i="17" s="1"/>
  <c r="H187" i="17" l="1"/>
  <c r="F187" i="17"/>
  <c r="G187" i="17" s="1"/>
  <c r="H189" i="17" l="1"/>
  <c r="F189" i="17"/>
  <c r="G189" i="17" s="1"/>
  <c r="H185" i="17"/>
  <c r="F185" i="17"/>
  <c r="G185" i="17" s="1"/>
  <c r="H98" i="17" l="1"/>
  <c r="F98" i="17"/>
  <c r="G98" i="17" s="1"/>
  <c r="H18" i="17" l="1"/>
  <c r="F18" i="17"/>
  <c r="G18" i="17" s="1"/>
  <c r="H97" i="17" l="1"/>
  <c r="F97" i="17"/>
  <c r="G97" i="17" s="1"/>
  <c r="H96" i="17" l="1"/>
  <c r="F96" i="17"/>
  <c r="G96" i="17" s="1"/>
  <c r="H126" i="17" l="1"/>
  <c r="F126" i="17"/>
  <c r="G126" i="17" s="1"/>
  <c r="H10" i="17" l="1"/>
  <c r="F10" i="17"/>
  <c r="G10" i="17" s="1"/>
  <c r="H5" i="17"/>
  <c r="F5" i="17"/>
  <c r="G5" i="17" s="1"/>
  <c r="H145" i="17" l="1"/>
  <c r="F145" i="17"/>
  <c r="G145" i="17" s="1"/>
  <c r="H144" i="17" l="1"/>
  <c r="F144" i="17"/>
  <c r="G144" i="17" s="1"/>
  <c r="H141" i="17"/>
  <c r="F141" i="17"/>
  <c r="G141" i="17" s="1"/>
  <c r="H95" i="17" l="1"/>
  <c r="F95" i="17"/>
  <c r="G95" i="17" s="1"/>
  <c r="H94" i="17" l="1"/>
  <c r="F94" i="17"/>
  <c r="G94" i="17" s="1"/>
  <c r="H93" i="17" l="1"/>
  <c r="F93" i="17"/>
  <c r="G93" i="17" s="1"/>
  <c r="H137" i="17" l="1"/>
  <c r="F137" i="17"/>
  <c r="G137" i="17" s="1"/>
  <c r="H92" i="17" l="1"/>
  <c r="F92" i="17"/>
  <c r="G92" i="17" s="1"/>
  <c r="H134" i="17" l="1"/>
  <c r="F134" i="17"/>
  <c r="G134" i="17" s="1"/>
  <c r="H89" i="17" l="1"/>
  <c r="F89" i="17"/>
  <c r="G89" i="17" s="1"/>
  <c r="H179" i="17" l="1"/>
  <c r="F179" i="17"/>
  <c r="G179" i="17" s="1"/>
  <c r="H140" i="17"/>
  <c r="F140" i="17"/>
  <c r="G140" i="17" s="1"/>
  <c r="H122" i="17" l="1"/>
  <c r="F122" i="17"/>
  <c r="G122" i="17" s="1"/>
  <c r="H116" i="17" l="1"/>
  <c r="F116" i="17"/>
  <c r="G116" i="17" s="1"/>
  <c r="H123" i="17" l="1"/>
  <c r="F123" i="17"/>
  <c r="G123" i="17" s="1"/>
  <c r="H125" i="17"/>
  <c r="F125" i="17"/>
  <c r="G125" i="17" s="1"/>
  <c r="H135" i="17"/>
  <c r="F135" i="17"/>
  <c r="G135" i="17" s="1"/>
  <c r="H88" i="17" l="1"/>
  <c r="F88" i="17"/>
  <c r="G88" i="17" s="1"/>
  <c r="H22" i="17" l="1"/>
  <c r="F22" i="17"/>
  <c r="G22" i="17" s="1"/>
  <c r="H124" i="17" l="1"/>
  <c r="F124" i="17"/>
  <c r="G124" i="17" s="1"/>
  <c r="H87" i="17" l="1"/>
  <c r="F87" i="17"/>
  <c r="G87" i="17" s="1"/>
  <c r="H138" i="17" l="1"/>
  <c r="F138" i="17"/>
  <c r="G138" i="17" s="1"/>
  <c r="H132" i="17" l="1"/>
  <c r="F132" i="17"/>
  <c r="G132" i="17" s="1"/>
  <c r="H21" i="17" l="1"/>
  <c r="F21" i="17"/>
  <c r="G21" i="17" s="1"/>
  <c r="H136" i="17" l="1"/>
  <c r="F136" i="17"/>
  <c r="G136" i="17" s="1"/>
  <c r="H202" i="17" l="1"/>
  <c r="F202" i="17"/>
  <c r="G202" i="17" s="1"/>
  <c r="H86" i="17" l="1"/>
  <c r="F86" i="17"/>
  <c r="G86" i="17" s="1"/>
  <c r="H178" i="17" l="1"/>
  <c r="F178" i="17"/>
  <c r="G178" i="17" s="1"/>
  <c r="H131" i="17" l="1"/>
  <c r="F131" i="17"/>
  <c r="G131" i="17" s="1"/>
  <c r="F130" i="17"/>
  <c r="G130" i="17" s="1"/>
  <c r="H130" i="17"/>
  <c r="H85" i="17" l="1"/>
  <c r="F85" i="17"/>
  <c r="G85" i="17" s="1"/>
  <c r="F117" i="17"/>
  <c r="G117" i="17" s="1"/>
  <c r="H117" i="17"/>
  <c r="F127" i="17"/>
  <c r="G127" i="17" s="1"/>
  <c r="H127" i="17"/>
  <c r="H128" i="17" l="1"/>
  <c r="F128" i="17"/>
  <c r="G128" i="17" s="1"/>
  <c r="H203" i="17" l="1"/>
  <c r="F203" i="17"/>
  <c r="G203" i="17" s="1"/>
  <c r="H133" i="17" l="1"/>
  <c r="F133" i="17"/>
  <c r="G133" i="17" s="1"/>
  <c r="H121" i="17"/>
  <c r="F121" i="17"/>
  <c r="G121" i="17" s="1"/>
  <c r="H84" i="17" l="1"/>
  <c r="F84" i="17"/>
  <c r="G84" i="17" s="1"/>
  <c r="H81" i="17" l="1"/>
  <c r="F81" i="17"/>
  <c r="G81" i="17" s="1"/>
  <c r="H72" i="17" l="1"/>
  <c r="F72" i="17"/>
  <c r="G72" i="17" s="1"/>
  <c r="F120" i="17" l="1"/>
  <c r="G120" i="17" s="1"/>
  <c r="H120" i="17"/>
  <c r="H83" i="17" l="1"/>
  <c r="F83" i="17"/>
  <c r="G83" i="17" s="1"/>
  <c r="H82" i="17" l="1"/>
  <c r="F82" i="17"/>
  <c r="G82" i="17" s="1"/>
  <c r="H80" i="17" l="1"/>
  <c r="F80" i="17"/>
  <c r="G80" i="17" s="1"/>
  <c r="H113" i="17" l="1"/>
  <c r="F113" i="17"/>
  <c r="G113" i="17" s="1"/>
  <c r="H109" i="17" l="1"/>
  <c r="F109" i="17"/>
  <c r="G109" i="17" s="1"/>
  <c r="F15" i="17" l="1"/>
  <c r="G15" i="17" s="1"/>
  <c r="H15" i="17"/>
  <c r="H199" i="17" l="1"/>
  <c r="F199" i="17"/>
  <c r="G199" i="17" s="1"/>
  <c r="H79" i="17"/>
  <c r="F79" i="17"/>
  <c r="G79" i="17" s="1"/>
  <c r="H129" i="17" l="1"/>
  <c r="F129" i="17"/>
  <c r="G129" i="17" s="1"/>
  <c r="H200" i="17" l="1"/>
  <c r="F200" i="17"/>
  <c r="G200" i="17" s="1"/>
  <c r="H75" i="17" l="1"/>
  <c r="F75" i="17"/>
  <c r="G75" i="17" s="1"/>
  <c r="H119" i="17" l="1"/>
  <c r="F119" i="17"/>
  <c r="G119" i="17" s="1"/>
  <c r="H77" i="17" l="1"/>
  <c r="F77" i="17"/>
  <c r="G77" i="17" s="1"/>
  <c r="H201" i="17" l="1"/>
  <c r="F201" i="17"/>
  <c r="G201" i="17" s="1"/>
  <c r="H17" i="17" l="1"/>
  <c r="F17" i="17"/>
  <c r="G17" i="17" s="1"/>
  <c r="H78" i="17"/>
  <c r="F78" i="17"/>
  <c r="G78" i="17" s="1"/>
  <c r="H9" i="17" l="1"/>
  <c r="F9" i="17"/>
  <c r="G9" i="17" s="1"/>
  <c r="H4" i="17" l="1"/>
  <c r="F4" i="17"/>
  <c r="G4" i="17" s="1"/>
  <c r="H8" i="17"/>
  <c r="F8" i="17"/>
  <c r="G8" i="17" s="1"/>
  <c r="H7" i="17"/>
  <c r="F7" i="17"/>
  <c r="G7" i="17" s="1"/>
  <c r="H76" i="17" l="1"/>
  <c r="F76" i="17"/>
  <c r="G76" i="17" s="1"/>
  <c r="H74" i="17" l="1"/>
  <c r="F74" i="17"/>
  <c r="G74" i="17" s="1"/>
  <c r="H73" i="17" l="1"/>
  <c r="F73" i="17"/>
  <c r="G73" i="17" s="1"/>
  <c r="H71" i="17" l="1"/>
  <c r="F71" i="17"/>
  <c r="G71" i="17" s="1"/>
  <c r="H69" i="17" l="1"/>
  <c r="F69" i="17"/>
  <c r="G69" i="17" s="1"/>
  <c r="H70" i="17" l="1"/>
  <c r="F70" i="17"/>
  <c r="G70" i="17" s="1"/>
  <c r="H59" i="17" l="1"/>
  <c r="F59" i="17"/>
  <c r="G59" i="17" s="1"/>
  <c r="H60" i="17" l="1"/>
  <c r="F60" i="17"/>
  <c r="G60" i="17" s="1"/>
  <c r="H67" i="17" l="1"/>
  <c r="F67" i="17"/>
  <c r="G67" i="17" s="1"/>
  <c r="H63" i="17" l="1"/>
  <c r="F63" i="17"/>
  <c r="G63" i="17" s="1"/>
  <c r="H58" i="17" l="1"/>
  <c r="F58" i="17"/>
  <c r="G58" i="17" s="1"/>
  <c r="F61" i="17" l="1"/>
  <c r="G61" i="17" s="1"/>
  <c r="H61" i="17"/>
  <c r="H66" i="17"/>
  <c r="F66" i="17"/>
  <c r="G66" i="17" s="1"/>
  <c r="F68" i="17"/>
  <c r="G68" i="17" s="1"/>
  <c r="H68" i="17"/>
  <c r="H114" i="17"/>
  <c r="F114" i="17"/>
  <c r="G114" i="17" s="1"/>
  <c r="H6" i="17" l="1"/>
  <c r="F6" i="17"/>
  <c r="G6" i="17" s="1"/>
  <c r="H14" i="17" l="1"/>
  <c r="F14" i="17"/>
  <c r="G14" i="17" s="1"/>
  <c r="H3" i="17" l="1"/>
  <c r="F3" i="17"/>
  <c r="G3" i="17" s="1"/>
  <c r="H65" i="17" l="1"/>
  <c r="F65" i="17"/>
  <c r="G65" i="17" s="1"/>
  <c r="H62" i="17" l="1"/>
  <c r="F62" i="17"/>
  <c r="G62" i="17" s="1"/>
  <c r="F64" i="17" l="1"/>
  <c r="G64" i="17" s="1"/>
  <c r="H64" i="17"/>
  <c r="H57" i="17" l="1"/>
  <c r="F57" i="17"/>
  <c r="G57" i="17" s="1"/>
  <c r="F112" i="17" l="1"/>
  <c r="G112" i="17" s="1"/>
  <c r="H112" i="17"/>
  <c r="H216" i="17" l="1"/>
  <c r="H226" i="17"/>
  <c r="H225" i="17"/>
  <c r="H224" i="17"/>
  <c r="F226" i="17"/>
  <c r="G226" i="17" s="1"/>
  <c r="F225" i="17"/>
  <c r="G225" i="17" s="1"/>
  <c r="F224" i="17"/>
  <c r="G224" i="17" s="1"/>
  <c r="H111" i="17"/>
  <c r="F111" i="17"/>
  <c r="G111" i="17" s="1"/>
  <c r="F215" i="17"/>
  <c r="G215" i="17" s="1"/>
  <c r="H215" i="17"/>
  <c r="F216" i="17"/>
  <c r="G216" i="17" s="1"/>
  <c r="F217" i="17"/>
  <c r="G217" i="17" s="1"/>
  <c r="H217" i="17"/>
  <c r="F218" i="17"/>
  <c r="G218" i="17" s="1"/>
  <c r="H218" i="17"/>
  <c r="F219" i="17"/>
  <c r="G219" i="17" s="1"/>
  <c r="H219" i="17"/>
  <c r="F222" i="17"/>
  <c r="G222" i="17" s="1"/>
  <c r="H222" i="17"/>
  <c r="F223" i="17"/>
  <c r="G223" i="17" s="1"/>
  <c r="H223" i="17"/>
  <c r="B227" i="17"/>
  <c r="C227" i="17"/>
  <c r="D227" i="17"/>
  <c r="G240" i="17"/>
  <c r="H227" i="17" l="1"/>
  <c r="G227" i="17"/>
  <c r="G237" i="17" s="1"/>
  <c r="F227" i="17"/>
</calcChain>
</file>

<file path=xl/sharedStrings.xml><?xml version="1.0" encoding="utf-8"?>
<sst xmlns="http://schemas.openxmlformats.org/spreadsheetml/2006/main" count="247" uniqueCount="242">
  <si>
    <t>Mod.</t>
  </si>
  <si>
    <t>Exi</t>
  </si>
  <si>
    <t>Dv.</t>
  </si>
  <si>
    <t>Pzas.ve</t>
  </si>
  <si>
    <t>To.ve.</t>
  </si>
  <si>
    <t>X. ve.</t>
  </si>
  <si>
    <t>Obser.</t>
  </si>
  <si>
    <t>pag.</t>
  </si>
  <si>
    <t>Subdeb.</t>
  </si>
  <si>
    <t>Fin</t>
  </si>
  <si>
    <t>pza.inv.ant</t>
  </si>
  <si>
    <t>SALIDAS</t>
  </si>
  <si>
    <t>Chalbor. Clau.</t>
  </si>
  <si>
    <t>Chalbor.angost.</t>
  </si>
  <si>
    <t>CHAL-EVE.</t>
  </si>
  <si>
    <t>Chal-shifon.</t>
  </si>
  <si>
    <t>Saco Shifon</t>
  </si>
  <si>
    <t>COPAS</t>
  </si>
  <si>
    <t>ENTRADAS</t>
  </si>
  <si>
    <t>A CUENTA</t>
  </si>
  <si>
    <t>costo x uni</t>
  </si>
  <si>
    <t>15176 Salo</t>
  </si>
  <si>
    <t>0752 Punto Bco</t>
  </si>
  <si>
    <t>0725 Punto Bco</t>
  </si>
  <si>
    <t>0755 PuntoBco</t>
  </si>
  <si>
    <t>CD-0212 Nyx</t>
  </si>
  <si>
    <t>**774 Pun.Bco.</t>
  </si>
  <si>
    <t>**765 PunBco</t>
  </si>
  <si>
    <t>**722 PunBco</t>
  </si>
  <si>
    <t>**306 Pun.Bco</t>
  </si>
  <si>
    <t>**0730 PntoBco</t>
  </si>
  <si>
    <t>**772 Pin Bco</t>
  </si>
  <si>
    <t>**313 Pto.Bco.</t>
  </si>
  <si>
    <t>**314 Pun Bco</t>
  </si>
  <si>
    <t>**790 Pun.Bco</t>
  </si>
  <si>
    <t>**780 Pun.Bco.</t>
  </si>
  <si>
    <t>3734Less a/c$300R=$940/2ago(n.681)</t>
  </si>
  <si>
    <t>**791 Pun.Bco</t>
  </si>
  <si>
    <t>**797 Pun.Bco.</t>
  </si>
  <si>
    <t>**799 Pun.Bco.</t>
  </si>
  <si>
    <t>**804 Pun. Bco.</t>
  </si>
  <si>
    <t>3208 Nyx</t>
  </si>
  <si>
    <t>CD-5052 Nyx</t>
  </si>
  <si>
    <t>1053 Nyx</t>
  </si>
  <si>
    <t>CD-9041 Nyx</t>
  </si>
  <si>
    <t>**807 Pun.Bco.</t>
  </si>
  <si>
    <t>5469 Nicoletta</t>
  </si>
  <si>
    <t>1425 Cocoon</t>
  </si>
  <si>
    <t>bajo Aidee</t>
  </si>
  <si>
    <t>**805 Pun. Bco.</t>
  </si>
  <si>
    <t xml:space="preserve">3752 Lessan </t>
  </si>
  <si>
    <t>5438Nico a/c$1000R=$400/5ago(n.1987)</t>
  </si>
  <si>
    <t>**801 Pun.Bco.</t>
  </si>
  <si>
    <t>2096 Lessan</t>
  </si>
  <si>
    <t xml:space="preserve">3964 Lessan </t>
  </si>
  <si>
    <t>**810 Pun.Bco.</t>
  </si>
  <si>
    <t>A877 Ranias</t>
  </si>
  <si>
    <t>5443 Nicoletta</t>
  </si>
  <si>
    <t>***Chal Pun.Bco</t>
  </si>
  <si>
    <t xml:space="preserve">**811 Pun.Bco </t>
  </si>
  <si>
    <t>**815 Pun.Bco.</t>
  </si>
  <si>
    <t>**816 Pun.Bco.</t>
  </si>
  <si>
    <t>5443Nico a/c$500 R=$900/19nov(2484)</t>
  </si>
  <si>
    <t>3834 Lessan</t>
  </si>
  <si>
    <t>**794 Pun.Bco.</t>
  </si>
  <si>
    <t>**812 Punto.Bco</t>
  </si>
  <si>
    <t>**819 Pun.Bco.</t>
  </si>
  <si>
    <t>3845 Lessan</t>
  </si>
  <si>
    <t>4022 Lessan</t>
  </si>
  <si>
    <t>3956 Lessan</t>
  </si>
  <si>
    <t>3934 Lessan</t>
  </si>
  <si>
    <t>3718 Lessan</t>
  </si>
  <si>
    <t>**825 Pun.Bco.</t>
  </si>
  <si>
    <t>3979 Lessan</t>
  </si>
  <si>
    <t>4002 Lessan</t>
  </si>
  <si>
    <t>14023 Lessan</t>
  </si>
  <si>
    <t>**826 Pun.Bco</t>
  </si>
  <si>
    <t>1025 Cocoon</t>
  </si>
  <si>
    <t>4037 Lessan</t>
  </si>
  <si>
    <t>5509 Nicoletta</t>
  </si>
  <si>
    <t>4010 Lessan</t>
  </si>
  <si>
    <t>4053 Lessan</t>
  </si>
  <si>
    <t>**827 Pun.Bco</t>
  </si>
  <si>
    <t>3888 Lessan</t>
  </si>
  <si>
    <t>5514 Nicoletta</t>
  </si>
  <si>
    <t>**829 Pun.Bco.</t>
  </si>
  <si>
    <t>4036 Lessan</t>
  </si>
  <si>
    <t>3895 Lessan</t>
  </si>
  <si>
    <t>3879 Lessan</t>
  </si>
  <si>
    <t>3501 Lessan</t>
  </si>
  <si>
    <t>3860 Lessan</t>
  </si>
  <si>
    <t>4061 Lessan</t>
  </si>
  <si>
    <t>14028 Lessan</t>
  </si>
  <si>
    <t>**831 Pun.Bco</t>
  </si>
  <si>
    <t>4024 Lessan</t>
  </si>
  <si>
    <t>**834 Pun.Bco</t>
  </si>
  <si>
    <t>4041 Lessan</t>
  </si>
  <si>
    <t>**835 Pun.Bco</t>
  </si>
  <si>
    <t>**836 Pun.Bco</t>
  </si>
  <si>
    <t>**837 Pun.Bco</t>
  </si>
  <si>
    <t>4076 Lessan</t>
  </si>
  <si>
    <t>4119 Lessan</t>
  </si>
  <si>
    <t>4133 Lessan</t>
  </si>
  <si>
    <t>CC-1440 Nyx</t>
  </si>
  <si>
    <t>CDJC-214 Nyx</t>
  </si>
  <si>
    <t>3898 Lessan</t>
  </si>
  <si>
    <t>**839 Pun.Bco</t>
  </si>
  <si>
    <t>**841 Pun.Bco</t>
  </si>
  <si>
    <t>5475 Nicoletta</t>
  </si>
  <si>
    <t>**840 Pun Bco</t>
  </si>
  <si>
    <t>9100 Eli Corame</t>
  </si>
  <si>
    <t>9071 Eli Corame</t>
  </si>
  <si>
    <t>9032 Eli Corame</t>
  </si>
  <si>
    <t>9112 Eli Corame</t>
  </si>
  <si>
    <t>saco modelo</t>
  </si>
  <si>
    <t>bolero modelo</t>
  </si>
  <si>
    <t>9080 Eli Corame</t>
  </si>
  <si>
    <t>5539 Nicoletta</t>
  </si>
  <si>
    <t>**844 Pun.Bco</t>
  </si>
  <si>
    <t>**842 Pun.Bco</t>
  </si>
  <si>
    <t>4054 Lessan</t>
  </si>
  <si>
    <t>1220 Libertad</t>
  </si>
  <si>
    <t>1240 Libertad</t>
  </si>
  <si>
    <t>1132 Libertad</t>
  </si>
  <si>
    <t>9201 Eli Corame</t>
  </si>
  <si>
    <t>**848 Pun.Bco.</t>
  </si>
  <si>
    <t>**847 Pun.Bco</t>
  </si>
  <si>
    <t>5549 Nicoletta</t>
  </si>
  <si>
    <t>4210 Lessan</t>
  </si>
  <si>
    <t>4077 Lessan</t>
  </si>
  <si>
    <t>1662 Libertad</t>
  </si>
  <si>
    <t>1554 Libertad</t>
  </si>
  <si>
    <t>**833 Pun .Bco</t>
  </si>
  <si>
    <t>SP-5515 NYX</t>
  </si>
  <si>
    <t>9205 Eli Corame</t>
  </si>
  <si>
    <t>5554 Nicoletta</t>
  </si>
  <si>
    <t>1766 Libertad</t>
  </si>
  <si>
    <t>5545 Nicoletta</t>
  </si>
  <si>
    <t>**834 Pun.B cort</t>
  </si>
  <si>
    <t>5551 Nicoletta</t>
  </si>
  <si>
    <t>5559 Nicoletta</t>
  </si>
  <si>
    <t>5553 Nicoletta</t>
  </si>
  <si>
    <t>SP-5228 NYX</t>
  </si>
  <si>
    <t>5552 Nicoletta</t>
  </si>
  <si>
    <t>4238 Lessan</t>
  </si>
  <si>
    <t>4218 Lessan</t>
  </si>
  <si>
    <t>4232 Lessan</t>
  </si>
  <si>
    <t>1551 Libertad</t>
  </si>
  <si>
    <t>5550 Nicoletta</t>
  </si>
  <si>
    <t>4233 Lessan</t>
  </si>
  <si>
    <t>4221 Lessan</t>
  </si>
  <si>
    <t>4263 Lessan</t>
  </si>
  <si>
    <t>4224 Lessan</t>
  </si>
  <si>
    <t>4169 Lessan</t>
  </si>
  <si>
    <t>4223 Lessan</t>
  </si>
  <si>
    <t>5563 Nicoletta</t>
  </si>
  <si>
    <t>4275 Lessan</t>
  </si>
  <si>
    <t>4274 Lessan</t>
  </si>
  <si>
    <t>4234 Lessan</t>
  </si>
  <si>
    <t>5560 Nicoletta</t>
  </si>
  <si>
    <t>730 a/C$1000 R=$530(5624)</t>
  </si>
  <si>
    <t>5558 Nicoletta</t>
  </si>
  <si>
    <t>**849 Pun.Bco</t>
  </si>
  <si>
    <t>9033 Eli Corame</t>
  </si>
  <si>
    <t>9239 Eli Corame</t>
  </si>
  <si>
    <t>**chal pun bco</t>
  </si>
  <si>
    <t>5564 Nicoletta</t>
  </si>
  <si>
    <t>5567 Nicoletta</t>
  </si>
  <si>
    <t>3738 Lessan</t>
  </si>
  <si>
    <t>**850 Pun.Bco</t>
  </si>
  <si>
    <t>1122 Libertad</t>
  </si>
  <si>
    <t>5561 Nicoletta</t>
  </si>
  <si>
    <t>5566 Nicoletta</t>
  </si>
  <si>
    <t>5563 a/C$500 R=$1170/1mar(6142)</t>
  </si>
  <si>
    <t>5568 Nicoletta</t>
  </si>
  <si>
    <t>5574 Nicoletta</t>
  </si>
  <si>
    <t>**851 Pun Bco</t>
  </si>
  <si>
    <t>**851 T Pun Bco</t>
  </si>
  <si>
    <t>4153 Lessan</t>
  </si>
  <si>
    <t>4258 Lessan</t>
  </si>
  <si>
    <t>4141 Lessan</t>
  </si>
  <si>
    <t>4312 Lessan</t>
  </si>
  <si>
    <t>4164 Lessan</t>
  </si>
  <si>
    <t>4154 Lessan</t>
  </si>
  <si>
    <t>5571 Nicoletta</t>
  </si>
  <si>
    <t>722 a/C$1000 R=$680(6351)</t>
  </si>
  <si>
    <t>5578 Nicoletta</t>
  </si>
  <si>
    <t>Toreritas vest</t>
  </si>
  <si>
    <t>capitas vest</t>
  </si>
  <si>
    <t>4264 Lessan</t>
  </si>
  <si>
    <t>4095 Lessan</t>
  </si>
  <si>
    <t>4242 Lessan</t>
  </si>
  <si>
    <t>4150 Lessan</t>
  </si>
  <si>
    <t>5580 Nicoletta</t>
  </si>
  <si>
    <t>5576 Nicoletta</t>
  </si>
  <si>
    <t>1771 Libertad</t>
  </si>
  <si>
    <t>5587 Nicoletta</t>
  </si>
  <si>
    <t>5582 Nicoletta</t>
  </si>
  <si>
    <t>5583 Nicoletta</t>
  </si>
  <si>
    <t>850 a/C$500 R=$1030/14mayo(6608)</t>
  </si>
  <si>
    <t>5588 Nicoletta</t>
  </si>
  <si>
    <t>4262 Lessan</t>
  </si>
  <si>
    <t>4214 Lessan</t>
  </si>
  <si>
    <t>4304 Lessan</t>
  </si>
  <si>
    <t>4175 Lessan</t>
  </si>
  <si>
    <t>4308 Lessan</t>
  </si>
  <si>
    <t>844 A/c$1000 r=$440(6649)</t>
  </si>
  <si>
    <t>844 A/c$1000 r=$440(6652)</t>
  </si>
  <si>
    <t>844 A/c$1000 r=$440(6653)</t>
  </si>
  <si>
    <t>5537 Nicoletta</t>
  </si>
  <si>
    <t>5593 Nicoletta</t>
  </si>
  <si>
    <t>852 Pun Bco</t>
  </si>
  <si>
    <t>14061 Lessan</t>
  </si>
  <si>
    <t>14056 Lessan</t>
  </si>
  <si>
    <t>14053 Lessan</t>
  </si>
  <si>
    <t>14060 Lessan</t>
  </si>
  <si>
    <t>5589 Nicoletta</t>
  </si>
  <si>
    <t>9310 Eli Corame</t>
  </si>
  <si>
    <t>5488 Nicoletta</t>
  </si>
  <si>
    <t>5504 Nicoletta</t>
  </si>
  <si>
    <t>3359 Lessan</t>
  </si>
  <si>
    <t>4187 Lessan</t>
  </si>
  <si>
    <t>4196 Lessan</t>
  </si>
  <si>
    <t>9315 Eli Corame</t>
  </si>
  <si>
    <t>5557 Nicoletta</t>
  </si>
  <si>
    <t>5592 Nicoletta</t>
  </si>
  <si>
    <t>853 Pun Bco</t>
  </si>
  <si>
    <t>4329 Lessan</t>
  </si>
  <si>
    <t>4188 Lessan</t>
  </si>
  <si>
    <t>4291 Lessan</t>
  </si>
  <si>
    <t>9320 Eli Corame</t>
  </si>
  <si>
    <t>844 pagado</t>
  </si>
  <si>
    <t xml:space="preserve"> </t>
  </si>
  <si>
    <t>9375 Eli Corame</t>
  </si>
  <si>
    <t>5596 Nicoletta</t>
  </si>
  <si>
    <t>INV: 27 JULIO</t>
  </si>
  <si>
    <t>Del 27 Julio</t>
  </si>
  <si>
    <t>19 mayo vestido vino</t>
  </si>
  <si>
    <t>5543 Nicoletta</t>
  </si>
  <si>
    <t>5445 Nicoletta</t>
  </si>
  <si>
    <t>5594 Nicoletta</t>
  </si>
  <si>
    <t>al 6 Agosto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</si>
</sst>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;[Red]\-&quot;$&quot;#,##0"/>
    <numFmt numFmtId="8" formatCode="&quot;$&quot;#,##0.00;[Red]\-&quot;$&quot;#,##0.00"/>
    <numFmt numFmtId="164" formatCode="&quot;$&quot;#,##0_);\(&quot;$&quot;#,##0\)"/>
    <numFmt numFmtId="165" formatCode="&quot;$&quot;#,##0"/>
  </numFmts>
  <fonts count="16" x14ac:knownFonts="1">
    <font>
      <sz val="10"/>
      <name val="Arial"/>
    </font>
    <font>
      <sz val="10"/>
      <name val="Arial"/>
    </font>
    <font>
      <sz val="10"/>
      <color indexed="8"/>
      <name val="Arial"/>
    </font>
    <font>
      <sz val="10"/>
      <color indexed="8"/>
      <name val="Arial"/>
      <family val="2"/>
    </font>
    <font>
      <sz val="8"/>
      <name val="Arial"/>
      <family val="2"/>
    </font>
    <font>
      <sz val="8"/>
      <name val="Courier New"/>
      <family val="3"/>
    </font>
    <font>
      <b/>
      <sz val="8"/>
      <name val="Arial"/>
      <family val="2"/>
    </font>
    <font>
      <b/>
      <sz val="8"/>
      <color indexed="8"/>
      <name val="Arial"/>
      <family val="2"/>
    </font>
    <font>
      <b/>
      <sz val="8"/>
      <name val="Courier New"/>
      <family val="3"/>
    </font>
    <font>
      <b/>
      <sz val="8"/>
      <color indexed="12"/>
      <name val="Courier New"/>
      <family val="3"/>
    </font>
    <font>
      <b/>
      <sz val="8"/>
      <color indexed="12"/>
      <name val="Arial"/>
      <family val="2"/>
    </font>
    <font>
      <sz val="8"/>
      <name val="Arial"/>
    </font>
    <font>
      <b/>
      <sz val="10"/>
      <color indexed="8"/>
      <name val="Arial"/>
    </font>
    <font>
      <b/>
      <i/>
      <sz val="10"/>
      <color indexed="16"/>
      <name val="Arial"/>
    </font>
    <font>
      <b/>
      <sz val="10"/>
      <name val="Arial"/>
      <family val="2"/>
    </font>
    <font>
      <b/>
      <sz val="10"/>
      <color indexed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rgb="FFFFFF00"/>
        <bgColor indexed="24"/>
      </patternFill>
    </fill>
    <fill>
      <patternFill patternType="solid">
        <fgColor theme="0"/>
        <bgColor indexed="2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2" borderId="1" xfId="0" applyFont="1" applyFill="1" applyBorder="1" applyAlignment="1"/>
    <xf numFmtId="0" fontId="3" fillId="2" borderId="1" xfId="0" applyFont="1" applyFill="1" applyBorder="1" applyAlignment="1">
      <alignment horizontal="left"/>
    </xf>
    <xf numFmtId="0" fontId="1" fillId="0" borderId="0" xfId="0" applyFont="1"/>
    <xf numFmtId="0" fontId="11" fillId="0" borderId="0" xfId="0" applyFont="1"/>
    <xf numFmtId="0" fontId="11" fillId="0" borderId="0" xfId="0" applyFont="1" applyAlignment="1">
      <alignment horizontal="center"/>
    </xf>
    <xf numFmtId="0" fontId="1" fillId="0" borderId="0" xfId="0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16" fontId="4" fillId="0" borderId="1" xfId="0" applyNumberFormat="1" applyFont="1" applyBorder="1"/>
    <xf numFmtId="6" fontId="5" fillId="0" borderId="1" xfId="0" applyNumberFormat="1" applyFont="1" applyBorder="1"/>
    <xf numFmtId="17" fontId="4" fillId="0" borderId="1" xfId="0" applyNumberFormat="1" applyFont="1" applyBorder="1"/>
    <xf numFmtId="17" fontId="5" fillId="0" borderId="1" xfId="0" applyNumberFormat="1" applyFont="1" applyBorder="1"/>
    <xf numFmtId="164" fontId="6" fillId="3" borderId="1" xfId="0" applyNumberFormat="1" applyFont="1" applyFill="1" applyBorder="1"/>
    <xf numFmtId="165" fontId="4" fillId="0" borderId="1" xfId="0" applyNumberFormat="1" applyFont="1" applyBorder="1"/>
    <xf numFmtId="164" fontId="7" fillId="4" borderId="1" xfId="0" applyNumberFormat="1" applyFont="1" applyFill="1" applyBorder="1"/>
    <xf numFmtId="164" fontId="8" fillId="5" borderId="1" xfId="0" applyNumberFormat="1" applyFont="1" applyFill="1" applyBorder="1"/>
    <xf numFmtId="0" fontId="9" fillId="5" borderId="1" xfId="0" applyFont="1" applyFill="1" applyBorder="1" applyAlignment="1">
      <alignment horizontal="center"/>
    </xf>
    <xf numFmtId="164" fontId="9" fillId="5" borderId="1" xfId="0" applyNumberFormat="1" applyFont="1" applyFill="1" applyBorder="1"/>
    <xf numFmtId="164" fontId="10" fillId="5" borderId="1" xfId="0" applyNumberFormat="1" applyFont="1" applyFill="1" applyBorder="1"/>
    <xf numFmtId="0" fontId="6" fillId="0" borderId="1" xfId="0" applyFont="1" applyBorder="1"/>
    <xf numFmtId="0" fontId="5" fillId="0" borderId="1" xfId="0" applyFont="1" applyBorder="1"/>
    <xf numFmtId="164" fontId="10" fillId="0" borderId="1" xfId="0" applyNumberFormat="1" applyFont="1" applyFill="1" applyBorder="1"/>
    <xf numFmtId="0" fontId="1" fillId="0" borderId="0" xfId="0" applyFont="1" applyFill="1"/>
    <xf numFmtId="0" fontId="4" fillId="0" borderId="2" xfId="0" applyFont="1" applyBorder="1" applyAlignment="1">
      <alignment horizontal="center"/>
    </xf>
    <xf numFmtId="0" fontId="4" fillId="0" borderId="2" xfId="0" applyFont="1" applyBorder="1"/>
    <xf numFmtId="15" fontId="4" fillId="0" borderId="2" xfId="0" applyNumberFormat="1" applyFont="1" applyBorder="1"/>
    <xf numFmtId="16" fontId="4" fillId="0" borderId="1" xfId="0" applyNumberFormat="1" applyFont="1" applyBorder="1" applyAlignment="1">
      <alignment horizontal="center"/>
    </xf>
    <xf numFmtId="0" fontId="12" fillId="6" borderId="2" xfId="0" applyFont="1" applyFill="1" applyBorder="1" applyAlignment="1">
      <alignment horizontal="left"/>
    </xf>
    <xf numFmtId="0" fontId="2" fillId="6" borderId="2" xfId="0" applyFont="1" applyFill="1" applyBorder="1" applyAlignment="1"/>
    <xf numFmtId="1" fontId="2" fillId="6" borderId="2" xfId="0" applyNumberFormat="1" applyFont="1" applyFill="1" applyBorder="1" applyAlignment="1"/>
    <xf numFmtId="16" fontId="4" fillId="0" borderId="2" xfId="0" applyNumberFormat="1" applyFont="1" applyFill="1" applyBorder="1"/>
    <xf numFmtId="16" fontId="4" fillId="0" borderId="2" xfId="0" applyNumberFormat="1" applyFont="1" applyBorder="1" applyAlignment="1">
      <alignment horizontal="center"/>
    </xf>
    <xf numFmtId="16" fontId="4" fillId="0" borderId="2" xfId="0" applyNumberFormat="1" applyFont="1" applyBorder="1"/>
    <xf numFmtId="16" fontId="2" fillId="2" borderId="1" xfId="0" applyNumberFormat="1" applyFont="1" applyFill="1" applyBorder="1" applyAlignment="1"/>
    <xf numFmtId="0" fontId="13" fillId="7" borderId="1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center" vertical="center" wrapText="1" shrinkToFit="1"/>
    </xf>
    <xf numFmtId="0" fontId="13" fillId="7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/>
    <xf numFmtId="0" fontId="2" fillId="8" borderId="1" xfId="0" applyFont="1" applyFill="1" applyBorder="1" applyAlignment="1"/>
    <xf numFmtId="164" fontId="0" fillId="6" borderId="2" xfId="0" applyNumberFormat="1" applyFill="1" applyBorder="1" applyAlignment="1"/>
    <xf numFmtId="8" fontId="4" fillId="0" borderId="2" xfId="0" applyNumberFormat="1" applyFont="1" applyBorder="1"/>
    <xf numFmtId="0" fontId="1" fillId="0" borderId="0" xfId="0" applyFont="1" applyBorder="1" applyAlignment="1">
      <alignment wrapText="1"/>
    </xf>
    <xf numFmtId="0" fontId="13" fillId="7" borderId="2" xfId="0" applyFont="1" applyFill="1" applyBorder="1" applyAlignment="1">
      <alignment horizontal="left" vertical="center"/>
    </xf>
    <xf numFmtId="0" fontId="13" fillId="7" borderId="2" xfId="0" applyFont="1" applyFill="1" applyBorder="1" applyAlignment="1">
      <alignment horizontal="center" vertical="center" wrapText="1" shrinkToFit="1"/>
    </xf>
    <xf numFmtId="0" fontId="13" fillId="7" borderId="2" xfId="0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center" vertical="center" wrapText="1"/>
    </xf>
    <xf numFmtId="16" fontId="6" fillId="0" borderId="1" xfId="0" applyNumberFormat="1" applyFont="1" applyBorder="1"/>
    <xf numFmtId="0" fontId="14" fillId="0" borderId="0" xfId="0" applyFont="1"/>
    <xf numFmtId="16" fontId="2" fillId="9" borderId="2" xfId="0" applyNumberFormat="1" applyFont="1" applyFill="1" applyBorder="1" applyAlignment="1"/>
    <xf numFmtId="16" fontId="2" fillId="0" borderId="2" xfId="0" applyNumberFormat="1" applyFont="1" applyFill="1" applyBorder="1" applyAlignment="1"/>
    <xf numFmtId="0" fontId="3" fillId="0" borderId="2" xfId="0" applyFont="1" applyFill="1" applyBorder="1" applyAlignment="1"/>
    <xf numFmtId="0" fontId="15" fillId="8" borderId="1" xfId="0" applyFont="1" applyFill="1" applyBorder="1" applyAlignment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81"/>
  <sheetViews>
    <sheetView tabSelected="1" zoomScaleNormal="100" workbookViewId="0">
      <pane xSplit="1" ySplit="1" topLeftCell="B218" activePane="bottomRight" state="frozen"/>
      <selection pane="topRight" activeCell="B1" sqref="B1"/>
      <selection pane="bottomLeft" activeCell="A2" sqref="A2"/>
      <selection pane="bottomRight" activeCell="K232" sqref="K232"/>
    </sheetView>
  </sheetViews>
  <sheetFormatPr baseColWidth="10" defaultRowHeight="12.75" x14ac:dyDescent="0.2"/>
  <cols>
    <col min="1" max="1" width="14.7109375" style="5" customWidth="1"/>
    <col min="2" max="5" width="13.85546875" style="4" customWidth="1"/>
    <col min="6" max="6" width="11.140625" style="4" customWidth="1"/>
    <col min="7" max="7" width="9.7109375" style="4" customWidth="1"/>
    <col min="8" max="8" width="10.42578125" style="4" customWidth="1"/>
    <col min="9" max="9" width="10.85546875" style="4" customWidth="1"/>
    <col min="10" max="16384" width="11.42578125" style="3"/>
  </cols>
  <sheetData>
    <row r="1" spans="1:9" s="6" customFormat="1" x14ac:dyDescent="0.2">
      <c r="A1" s="35" t="s">
        <v>0</v>
      </c>
      <c r="B1" s="36" t="s">
        <v>10</v>
      </c>
      <c r="C1" s="37" t="s">
        <v>1</v>
      </c>
      <c r="D1" s="37" t="s">
        <v>2</v>
      </c>
      <c r="E1" s="38" t="s">
        <v>20</v>
      </c>
      <c r="F1" s="38" t="s">
        <v>3</v>
      </c>
      <c r="G1" s="38" t="s">
        <v>4</v>
      </c>
      <c r="H1" s="38" t="s">
        <v>5</v>
      </c>
      <c r="I1" s="37" t="s">
        <v>6</v>
      </c>
    </row>
    <row r="2" spans="1:9" s="6" customFormat="1" x14ac:dyDescent="0.2">
      <c r="A2" s="45"/>
      <c r="B2" s="46"/>
      <c r="C2" s="47"/>
      <c r="D2" s="47"/>
      <c r="E2" s="48"/>
      <c r="F2" s="38"/>
      <c r="G2" s="38"/>
      <c r="H2" s="38"/>
      <c r="I2" s="47"/>
    </row>
    <row r="3" spans="1:9" s="6" customFormat="1" x14ac:dyDescent="0.2">
      <c r="A3" s="39"/>
      <c r="B3" s="40"/>
      <c r="C3" s="40"/>
      <c r="D3" s="40"/>
      <c r="E3" s="40"/>
      <c r="F3" s="1">
        <f t="shared" ref="F3:F226" si="0">B3-C3-D3</f>
        <v>0</v>
      </c>
      <c r="G3" s="1">
        <f t="shared" ref="G3:G226" si="1">F3*E3</f>
        <v>0</v>
      </c>
      <c r="H3" s="1">
        <f t="shared" ref="H3:H226" si="2">C3*E3</f>
        <v>0</v>
      </c>
      <c r="I3" s="40"/>
    </row>
    <row r="4" spans="1:9" s="6" customFormat="1" x14ac:dyDescent="0.2">
      <c r="A4" s="39" t="s">
        <v>43</v>
      </c>
      <c r="B4" s="40">
        <v>2</v>
      </c>
      <c r="C4" s="40">
        <v>2</v>
      </c>
      <c r="D4" s="40"/>
      <c r="E4" s="40">
        <v>100</v>
      </c>
      <c r="F4" s="1">
        <f t="shared" si="0"/>
        <v>0</v>
      </c>
      <c r="G4" s="1">
        <f t="shared" si="1"/>
        <v>0</v>
      </c>
      <c r="H4" s="1">
        <f t="shared" si="2"/>
        <v>200</v>
      </c>
      <c r="I4" s="51"/>
    </row>
    <row r="5" spans="1:9" s="6" customFormat="1" x14ac:dyDescent="0.2">
      <c r="A5" s="39" t="s">
        <v>103</v>
      </c>
      <c r="B5" s="40">
        <v>1</v>
      </c>
      <c r="C5" s="40">
        <v>1</v>
      </c>
      <c r="D5" s="40"/>
      <c r="E5" s="40">
        <v>2050</v>
      </c>
      <c r="F5" s="1">
        <f t="shared" si="0"/>
        <v>0</v>
      </c>
      <c r="G5" s="1">
        <f t="shared" si="1"/>
        <v>0</v>
      </c>
      <c r="H5" s="1">
        <f t="shared" si="2"/>
        <v>2050</v>
      </c>
      <c r="I5" s="52"/>
    </row>
    <row r="6" spans="1:9" s="6" customFormat="1" x14ac:dyDescent="0.2">
      <c r="A6" s="39" t="s">
        <v>25</v>
      </c>
      <c r="B6" s="40">
        <v>1</v>
      </c>
      <c r="C6" s="40">
        <v>1</v>
      </c>
      <c r="D6" s="40"/>
      <c r="E6" s="40">
        <v>638</v>
      </c>
      <c r="F6" s="1">
        <f t="shared" si="0"/>
        <v>0</v>
      </c>
      <c r="G6" s="1">
        <f t="shared" si="1"/>
        <v>0</v>
      </c>
      <c r="H6" s="1">
        <f t="shared" si="2"/>
        <v>638</v>
      </c>
      <c r="I6" s="53"/>
    </row>
    <row r="7" spans="1:9" s="6" customFormat="1" x14ac:dyDescent="0.2">
      <c r="A7" s="39" t="s">
        <v>41</v>
      </c>
      <c r="B7" s="40">
        <v>1</v>
      </c>
      <c r="C7" s="40">
        <v>1</v>
      </c>
      <c r="D7" s="40"/>
      <c r="E7" s="40">
        <v>10</v>
      </c>
      <c r="F7" s="1">
        <f t="shared" si="0"/>
        <v>0</v>
      </c>
      <c r="G7" s="1">
        <f t="shared" si="1"/>
        <v>0</v>
      </c>
      <c r="H7" s="1">
        <f t="shared" si="2"/>
        <v>10</v>
      </c>
      <c r="I7" s="53"/>
    </row>
    <row r="8" spans="1:9" s="6" customFormat="1" x14ac:dyDescent="0.2">
      <c r="A8" s="39" t="s">
        <v>42</v>
      </c>
      <c r="B8" s="40">
        <v>1</v>
      </c>
      <c r="C8" s="40">
        <v>1</v>
      </c>
      <c r="D8" s="40"/>
      <c r="E8" s="40">
        <v>10</v>
      </c>
      <c r="F8" s="1">
        <f t="shared" si="0"/>
        <v>0</v>
      </c>
      <c r="G8" s="1">
        <f t="shared" si="1"/>
        <v>0</v>
      </c>
      <c r="H8" s="1">
        <f t="shared" si="2"/>
        <v>10</v>
      </c>
      <c r="I8" s="53"/>
    </row>
    <row r="9" spans="1:9" s="6" customFormat="1" x14ac:dyDescent="0.2">
      <c r="A9" s="39" t="s">
        <v>44</v>
      </c>
      <c r="B9" s="40">
        <v>2</v>
      </c>
      <c r="C9" s="40">
        <v>2</v>
      </c>
      <c r="D9" s="40"/>
      <c r="E9" s="40">
        <v>100</v>
      </c>
      <c r="F9" s="1">
        <f t="shared" si="0"/>
        <v>0</v>
      </c>
      <c r="G9" s="1">
        <f t="shared" si="1"/>
        <v>0</v>
      </c>
      <c r="H9" s="1">
        <f t="shared" si="2"/>
        <v>200</v>
      </c>
      <c r="I9" s="53"/>
    </row>
    <row r="10" spans="1:9" s="6" customFormat="1" x14ac:dyDescent="0.2">
      <c r="A10" s="39" t="s">
        <v>104</v>
      </c>
      <c r="B10" s="40">
        <v>0</v>
      </c>
      <c r="C10" s="40">
        <v>0</v>
      </c>
      <c r="D10" s="40"/>
      <c r="E10" s="40">
        <v>2050</v>
      </c>
      <c r="F10" s="1">
        <f t="shared" si="0"/>
        <v>0</v>
      </c>
      <c r="G10" s="1">
        <f t="shared" si="1"/>
        <v>0</v>
      </c>
      <c r="H10" s="1">
        <f t="shared" si="2"/>
        <v>0</v>
      </c>
      <c r="I10" s="53"/>
    </row>
    <row r="11" spans="1:9" s="6" customFormat="1" x14ac:dyDescent="0.2">
      <c r="A11" s="39"/>
      <c r="B11" s="40"/>
      <c r="C11" s="40"/>
      <c r="D11" s="40"/>
      <c r="E11" s="40"/>
      <c r="F11" s="1">
        <f t="shared" si="0"/>
        <v>0</v>
      </c>
      <c r="G11" s="1">
        <f t="shared" si="1"/>
        <v>0</v>
      </c>
      <c r="H11" s="1">
        <f t="shared" si="2"/>
        <v>0</v>
      </c>
      <c r="I11" s="53"/>
    </row>
    <row r="12" spans="1:9" s="6" customFormat="1" x14ac:dyDescent="0.2">
      <c r="A12" s="39" t="s">
        <v>142</v>
      </c>
      <c r="B12" s="40">
        <v>13</v>
      </c>
      <c r="C12" s="40">
        <v>13</v>
      </c>
      <c r="D12" s="40"/>
      <c r="E12" s="40">
        <v>1000</v>
      </c>
      <c r="F12" s="1">
        <f t="shared" si="0"/>
        <v>0</v>
      </c>
      <c r="G12" s="1">
        <f t="shared" si="1"/>
        <v>0</v>
      </c>
      <c r="H12" s="1">
        <f t="shared" si="2"/>
        <v>13000</v>
      </c>
      <c r="I12" s="53"/>
    </row>
    <row r="13" spans="1:9" s="6" customFormat="1" x14ac:dyDescent="0.2">
      <c r="A13" s="39" t="s">
        <v>133</v>
      </c>
      <c r="B13" s="40">
        <v>8</v>
      </c>
      <c r="C13" s="40">
        <v>7</v>
      </c>
      <c r="D13" s="40"/>
      <c r="E13" s="40">
        <v>1000</v>
      </c>
      <c r="F13" s="1">
        <f t="shared" si="0"/>
        <v>1</v>
      </c>
      <c r="G13" s="1">
        <f t="shared" si="1"/>
        <v>1000</v>
      </c>
      <c r="H13" s="1">
        <f t="shared" si="2"/>
        <v>7000</v>
      </c>
      <c r="I13" s="53"/>
    </row>
    <row r="14" spans="1:9" s="6" customFormat="1" x14ac:dyDescent="0.2">
      <c r="A14" s="39"/>
      <c r="B14" s="40"/>
      <c r="C14" s="40"/>
      <c r="D14" s="40"/>
      <c r="E14" s="40"/>
      <c r="F14" s="1">
        <f t="shared" si="0"/>
        <v>0</v>
      </c>
      <c r="G14" s="1">
        <f t="shared" si="1"/>
        <v>0</v>
      </c>
      <c r="H14" s="1">
        <f t="shared" si="2"/>
        <v>0</v>
      </c>
      <c r="I14" s="40"/>
    </row>
    <row r="15" spans="1:9" s="6" customFormat="1" x14ac:dyDescent="0.2">
      <c r="A15" s="39" t="s">
        <v>57</v>
      </c>
      <c r="B15" s="40">
        <v>10</v>
      </c>
      <c r="C15" s="40">
        <v>9</v>
      </c>
      <c r="D15" s="40"/>
      <c r="E15" s="40">
        <v>840</v>
      </c>
      <c r="F15" s="1">
        <f t="shared" si="0"/>
        <v>1</v>
      </c>
      <c r="G15" s="1">
        <f t="shared" si="1"/>
        <v>840</v>
      </c>
      <c r="H15" s="1">
        <f t="shared" si="2"/>
        <v>7560</v>
      </c>
      <c r="I15" s="40"/>
    </row>
    <row r="16" spans="1:9" s="6" customFormat="1" x14ac:dyDescent="0.2">
      <c r="A16" s="39" t="s">
        <v>239</v>
      </c>
      <c r="B16" s="40">
        <v>1</v>
      </c>
      <c r="C16" s="40">
        <v>0</v>
      </c>
      <c r="D16" s="40"/>
      <c r="E16" s="40">
        <v>875</v>
      </c>
      <c r="F16" s="1">
        <f t="shared" si="0"/>
        <v>1</v>
      </c>
      <c r="G16" s="1">
        <f t="shared" si="1"/>
        <v>875</v>
      </c>
      <c r="H16" s="1">
        <f t="shared" si="2"/>
        <v>0</v>
      </c>
      <c r="I16" s="40"/>
    </row>
    <row r="17" spans="1:9" s="6" customFormat="1" x14ac:dyDescent="0.2">
      <c r="A17" s="39" t="s">
        <v>46</v>
      </c>
      <c r="B17" s="40">
        <v>26</v>
      </c>
      <c r="C17" s="40">
        <v>23</v>
      </c>
      <c r="D17" s="40"/>
      <c r="E17" s="40">
        <v>795</v>
      </c>
      <c r="F17" s="1">
        <f t="shared" si="0"/>
        <v>3</v>
      </c>
      <c r="G17" s="1">
        <f t="shared" si="1"/>
        <v>2385</v>
      </c>
      <c r="H17" s="1">
        <f t="shared" si="2"/>
        <v>18285</v>
      </c>
      <c r="I17" s="40"/>
    </row>
    <row r="18" spans="1:9" s="6" customFormat="1" x14ac:dyDescent="0.2">
      <c r="A18" s="39" t="s">
        <v>108</v>
      </c>
      <c r="B18" s="40">
        <v>1</v>
      </c>
      <c r="C18" s="40">
        <v>1</v>
      </c>
      <c r="D18" s="40"/>
      <c r="E18" s="40">
        <v>550</v>
      </c>
      <c r="F18" s="1">
        <f t="shared" si="0"/>
        <v>0</v>
      </c>
      <c r="G18" s="1">
        <f t="shared" si="1"/>
        <v>0</v>
      </c>
      <c r="H18" s="1">
        <f t="shared" si="2"/>
        <v>550</v>
      </c>
      <c r="I18" s="40"/>
    </row>
    <row r="19" spans="1:9" s="6" customFormat="1" x14ac:dyDescent="0.2">
      <c r="A19" s="39" t="s">
        <v>218</v>
      </c>
      <c r="B19" s="40">
        <v>9</v>
      </c>
      <c r="C19" s="40">
        <v>9</v>
      </c>
      <c r="D19" s="40"/>
      <c r="E19" s="40">
        <v>750</v>
      </c>
      <c r="F19" s="1">
        <f t="shared" si="0"/>
        <v>0</v>
      </c>
      <c r="G19" s="1">
        <f t="shared" si="1"/>
        <v>0</v>
      </c>
      <c r="H19" s="1">
        <f t="shared" si="2"/>
        <v>6750</v>
      </c>
      <c r="I19" s="40"/>
    </row>
    <row r="20" spans="1:9" s="6" customFormat="1" x14ac:dyDescent="0.2">
      <c r="A20" s="39" t="s">
        <v>219</v>
      </c>
      <c r="B20" s="40">
        <v>15</v>
      </c>
      <c r="C20" s="40">
        <v>12</v>
      </c>
      <c r="D20" s="40">
        <v>1</v>
      </c>
      <c r="E20" s="40">
        <v>500</v>
      </c>
      <c r="F20" s="1">
        <f t="shared" si="0"/>
        <v>2</v>
      </c>
      <c r="G20" s="1">
        <f t="shared" si="1"/>
        <v>1000</v>
      </c>
      <c r="H20" s="1">
        <f t="shared" si="2"/>
        <v>6000</v>
      </c>
      <c r="I20" s="40"/>
    </row>
    <row r="21" spans="1:9" s="6" customFormat="1" x14ac:dyDescent="0.2">
      <c r="A21" s="39" t="s">
        <v>79</v>
      </c>
      <c r="B21" s="40">
        <v>7</v>
      </c>
      <c r="C21" s="40">
        <v>7</v>
      </c>
      <c r="D21" s="40"/>
      <c r="E21" s="40">
        <v>795</v>
      </c>
      <c r="F21" s="1">
        <f t="shared" si="0"/>
        <v>0</v>
      </c>
      <c r="G21" s="1">
        <f t="shared" si="1"/>
        <v>0</v>
      </c>
      <c r="H21" s="1">
        <f t="shared" si="2"/>
        <v>5565</v>
      </c>
      <c r="I21" s="40"/>
    </row>
    <row r="22" spans="1:9" s="6" customFormat="1" x14ac:dyDescent="0.2">
      <c r="A22" s="39" t="s">
        <v>84</v>
      </c>
      <c r="B22" s="40">
        <v>4</v>
      </c>
      <c r="C22" s="40">
        <v>4</v>
      </c>
      <c r="D22" s="40"/>
      <c r="E22" s="40">
        <v>785</v>
      </c>
      <c r="F22" s="1">
        <f t="shared" si="0"/>
        <v>0</v>
      </c>
      <c r="G22" s="1">
        <f t="shared" si="1"/>
        <v>0</v>
      </c>
      <c r="H22" s="1">
        <f t="shared" si="2"/>
        <v>3140</v>
      </c>
      <c r="I22" s="40"/>
    </row>
    <row r="23" spans="1:9" s="6" customFormat="1" x14ac:dyDescent="0.2">
      <c r="A23" s="39" t="s">
        <v>209</v>
      </c>
      <c r="B23" s="40">
        <v>5</v>
      </c>
      <c r="C23" s="40">
        <v>5</v>
      </c>
      <c r="D23" s="40"/>
      <c r="E23" s="40">
        <v>475</v>
      </c>
      <c r="F23" s="1">
        <f t="shared" si="0"/>
        <v>0</v>
      </c>
      <c r="G23" s="1">
        <f t="shared" si="1"/>
        <v>0</v>
      </c>
      <c r="H23" s="1">
        <f t="shared" si="2"/>
        <v>2375</v>
      </c>
      <c r="I23" s="40"/>
    </row>
    <row r="24" spans="1:9" s="6" customFormat="1" x14ac:dyDescent="0.2">
      <c r="A24" s="39" t="s">
        <v>117</v>
      </c>
      <c r="B24" s="40">
        <v>4</v>
      </c>
      <c r="C24" s="40">
        <v>3</v>
      </c>
      <c r="D24" s="40"/>
      <c r="E24" s="40">
        <v>900</v>
      </c>
      <c r="F24" s="1">
        <f t="shared" si="0"/>
        <v>1</v>
      </c>
      <c r="G24" s="1">
        <f t="shared" si="1"/>
        <v>900</v>
      </c>
      <c r="H24" s="1">
        <f t="shared" si="2"/>
        <v>2700</v>
      </c>
      <c r="I24" s="40"/>
    </row>
    <row r="25" spans="1:9" s="6" customFormat="1" x14ac:dyDescent="0.2">
      <c r="A25" s="39" t="s">
        <v>238</v>
      </c>
      <c r="B25" s="40">
        <v>18</v>
      </c>
      <c r="C25" s="40">
        <v>17</v>
      </c>
      <c r="D25" s="40"/>
      <c r="E25" s="40">
        <v>840</v>
      </c>
      <c r="F25" s="1">
        <f t="shared" si="0"/>
        <v>1</v>
      </c>
      <c r="G25" s="1">
        <f t="shared" si="1"/>
        <v>840</v>
      </c>
      <c r="H25" s="1">
        <f t="shared" si="2"/>
        <v>14280</v>
      </c>
      <c r="I25" s="40"/>
    </row>
    <row r="26" spans="1:9" s="6" customFormat="1" x14ac:dyDescent="0.2">
      <c r="A26" s="39" t="s">
        <v>137</v>
      </c>
      <c r="B26" s="40">
        <v>7</v>
      </c>
      <c r="C26" s="40">
        <v>7</v>
      </c>
      <c r="D26" s="40"/>
      <c r="E26" s="40">
        <v>775</v>
      </c>
      <c r="F26" s="1">
        <f t="shared" si="0"/>
        <v>0</v>
      </c>
      <c r="G26" s="1">
        <f t="shared" si="1"/>
        <v>0</v>
      </c>
      <c r="H26" s="1">
        <f t="shared" si="2"/>
        <v>5425</v>
      </c>
      <c r="I26" s="40"/>
    </row>
    <row r="27" spans="1:9" s="6" customFormat="1" x14ac:dyDescent="0.2">
      <c r="A27" s="39" t="s">
        <v>127</v>
      </c>
      <c r="B27" s="40">
        <v>6</v>
      </c>
      <c r="C27" s="40">
        <v>6</v>
      </c>
      <c r="D27" s="40"/>
      <c r="E27" s="40">
        <v>925</v>
      </c>
      <c r="F27" s="1">
        <f t="shared" si="0"/>
        <v>0</v>
      </c>
      <c r="G27" s="1">
        <f t="shared" si="1"/>
        <v>0</v>
      </c>
      <c r="H27" s="1">
        <f t="shared" si="2"/>
        <v>5550</v>
      </c>
      <c r="I27" s="40"/>
    </row>
    <row r="28" spans="1:9" s="6" customFormat="1" x14ac:dyDescent="0.2">
      <c r="A28" s="39" t="s">
        <v>148</v>
      </c>
      <c r="B28" s="40">
        <v>5</v>
      </c>
      <c r="C28" s="40">
        <v>4</v>
      </c>
      <c r="D28" s="40"/>
      <c r="E28" s="40">
        <v>895</v>
      </c>
      <c r="F28" s="1">
        <f t="shared" si="0"/>
        <v>1</v>
      </c>
      <c r="G28" s="1">
        <f t="shared" si="1"/>
        <v>895</v>
      </c>
      <c r="H28" s="1">
        <f t="shared" si="2"/>
        <v>3580</v>
      </c>
      <c r="I28" s="40"/>
    </row>
    <row r="29" spans="1:9" s="6" customFormat="1" x14ac:dyDescent="0.2">
      <c r="A29" s="39" t="s">
        <v>139</v>
      </c>
      <c r="B29" s="40">
        <v>11</v>
      </c>
      <c r="C29" s="40">
        <v>11</v>
      </c>
      <c r="D29" s="40"/>
      <c r="E29" s="40">
        <v>950</v>
      </c>
      <c r="F29" s="1">
        <f t="shared" si="0"/>
        <v>0</v>
      </c>
      <c r="G29" s="1">
        <f t="shared" si="1"/>
        <v>0</v>
      </c>
      <c r="H29" s="1">
        <f t="shared" si="2"/>
        <v>10450</v>
      </c>
      <c r="I29" s="40"/>
    </row>
    <row r="30" spans="1:9" s="6" customFormat="1" x14ac:dyDescent="0.2">
      <c r="A30" s="39" t="s">
        <v>143</v>
      </c>
      <c r="B30" s="40">
        <v>14</v>
      </c>
      <c r="C30" s="40">
        <v>11</v>
      </c>
      <c r="D30" s="40"/>
      <c r="E30" s="40">
        <v>945</v>
      </c>
      <c r="F30" s="1">
        <f t="shared" si="0"/>
        <v>3</v>
      </c>
      <c r="G30" s="1">
        <f t="shared" si="1"/>
        <v>2835</v>
      </c>
      <c r="H30" s="1">
        <f t="shared" si="2"/>
        <v>10395</v>
      </c>
      <c r="I30" s="40"/>
    </row>
    <row r="31" spans="1:9" s="6" customFormat="1" x14ac:dyDescent="0.2">
      <c r="A31" s="39" t="s">
        <v>141</v>
      </c>
      <c r="B31" s="40">
        <v>9</v>
      </c>
      <c r="C31" s="40">
        <v>8</v>
      </c>
      <c r="D31" s="40"/>
      <c r="E31" s="40">
        <v>875</v>
      </c>
      <c r="F31" s="1">
        <f t="shared" si="0"/>
        <v>1</v>
      </c>
      <c r="G31" s="1">
        <f t="shared" si="1"/>
        <v>875</v>
      </c>
      <c r="H31" s="1">
        <f t="shared" si="2"/>
        <v>7000</v>
      </c>
      <c r="I31" s="40"/>
    </row>
    <row r="32" spans="1:9" s="6" customFormat="1" x14ac:dyDescent="0.2">
      <c r="A32" s="39" t="s">
        <v>135</v>
      </c>
      <c r="B32" s="40">
        <v>13</v>
      </c>
      <c r="C32" s="40">
        <v>9</v>
      </c>
      <c r="D32" s="40">
        <v>4</v>
      </c>
      <c r="E32" s="40">
        <v>1000</v>
      </c>
      <c r="F32" s="1">
        <f t="shared" si="0"/>
        <v>0</v>
      </c>
      <c r="G32" s="1">
        <f t="shared" si="1"/>
        <v>0</v>
      </c>
      <c r="H32" s="1">
        <f t="shared" si="2"/>
        <v>9000</v>
      </c>
      <c r="I32" s="40"/>
    </row>
    <row r="33" spans="1:9" s="6" customFormat="1" x14ac:dyDescent="0.2">
      <c r="A33" s="39" t="s">
        <v>224</v>
      </c>
      <c r="B33" s="40">
        <v>9</v>
      </c>
      <c r="C33" s="40">
        <v>8</v>
      </c>
      <c r="D33" s="40"/>
      <c r="E33" s="40">
        <v>1350</v>
      </c>
      <c r="F33" s="1">
        <f t="shared" si="0"/>
        <v>1</v>
      </c>
      <c r="G33" s="1">
        <f t="shared" si="1"/>
        <v>1350</v>
      </c>
      <c r="H33" s="1">
        <f t="shared" si="2"/>
        <v>10800</v>
      </c>
      <c r="I33" s="40"/>
    </row>
    <row r="34" spans="1:9" s="6" customFormat="1" x14ac:dyDescent="0.2">
      <c r="A34" s="39" t="s">
        <v>161</v>
      </c>
      <c r="B34" s="40">
        <v>5</v>
      </c>
      <c r="C34" s="40">
        <v>5</v>
      </c>
      <c r="D34" s="40"/>
      <c r="E34" s="40">
        <v>900</v>
      </c>
      <c r="F34" s="1">
        <f t="shared" si="0"/>
        <v>0</v>
      </c>
      <c r="G34" s="1">
        <f t="shared" si="1"/>
        <v>0</v>
      </c>
      <c r="H34" s="1">
        <f t="shared" si="2"/>
        <v>4500</v>
      </c>
      <c r="I34" s="40"/>
    </row>
    <row r="35" spans="1:9" s="6" customFormat="1" x14ac:dyDescent="0.2">
      <c r="A35" s="39" t="s">
        <v>140</v>
      </c>
      <c r="B35" s="40">
        <v>2</v>
      </c>
      <c r="C35" s="40">
        <v>0</v>
      </c>
      <c r="D35" s="40">
        <v>2</v>
      </c>
      <c r="E35" s="40">
        <v>875</v>
      </c>
      <c r="F35" s="1">
        <f t="shared" si="0"/>
        <v>0</v>
      </c>
      <c r="G35" s="1">
        <f t="shared" si="1"/>
        <v>0</v>
      </c>
      <c r="H35" s="1">
        <f t="shared" si="2"/>
        <v>0</v>
      </c>
      <c r="I35" s="40"/>
    </row>
    <row r="36" spans="1:9" s="6" customFormat="1" x14ac:dyDescent="0.2">
      <c r="A36" s="39" t="s">
        <v>159</v>
      </c>
      <c r="B36" s="40">
        <v>7</v>
      </c>
      <c r="C36" s="40">
        <v>0</v>
      </c>
      <c r="D36" s="40">
        <v>7</v>
      </c>
      <c r="E36" s="40">
        <v>900</v>
      </c>
      <c r="F36" s="1">
        <f t="shared" si="0"/>
        <v>0</v>
      </c>
      <c r="G36" s="1">
        <f t="shared" si="1"/>
        <v>0</v>
      </c>
      <c r="H36" s="1">
        <f t="shared" si="2"/>
        <v>0</v>
      </c>
      <c r="I36" s="40"/>
    </row>
    <row r="37" spans="1:9" s="6" customFormat="1" x14ac:dyDescent="0.2">
      <c r="A37" s="39" t="s">
        <v>171</v>
      </c>
      <c r="B37" s="40">
        <v>8</v>
      </c>
      <c r="C37" s="40">
        <v>0</v>
      </c>
      <c r="D37" s="40">
        <v>8</v>
      </c>
      <c r="E37" s="40">
        <v>925</v>
      </c>
      <c r="F37" s="1">
        <f t="shared" si="0"/>
        <v>0</v>
      </c>
      <c r="G37" s="1">
        <f t="shared" si="1"/>
        <v>0</v>
      </c>
      <c r="H37" s="1">
        <f t="shared" si="2"/>
        <v>0</v>
      </c>
      <c r="I37" s="40"/>
    </row>
    <row r="38" spans="1:9" s="6" customFormat="1" x14ac:dyDescent="0.2">
      <c r="A38" s="39" t="s">
        <v>155</v>
      </c>
      <c r="B38" s="40">
        <v>10</v>
      </c>
      <c r="C38" s="40">
        <v>9</v>
      </c>
      <c r="D38" s="40"/>
      <c r="E38" s="40">
        <v>925</v>
      </c>
      <c r="F38" s="1">
        <f t="shared" si="0"/>
        <v>1</v>
      </c>
      <c r="G38" s="1">
        <f t="shared" si="1"/>
        <v>925</v>
      </c>
      <c r="H38" s="1">
        <f t="shared" si="2"/>
        <v>8325</v>
      </c>
      <c r="I38" s="40"/>
    </row>
    <row r="39" spans="1:9" s="6" customFormat="1" x14ac:dyDescent="0.2">
      <c r="A39" s="39" t="s">
        <v>166</v>
      </c>
      <c r="B39" s="40">
        <v>4</v>
      </c>
      <c r="C39" s="40">
        <v>4</v>
      </c>
      <c r="D39" s="40"/>
      <c r="E39" s="40">
        <v>900</v>
      </c>
      <c r="F39" s="1">
        <f t="shared" si="0"/>
        <v>0</v>
      </c>
      <c r="G39" s="1">
        <f t="shared" si="1"/>
        <v>0</v>
      </c>
      <c r="H39" s="1">
        <f t="shared" si="2"/>
        <v>3600</v>
      </c>
      <c r="I39" s="40"/>
    </row>
    <row r="40" spans="1:9" s="6" customFormat="1" x14ac:dyDescent="0.2">
      <c r="A40" s="39" t="s">
        <v>172</v>
      </c>
      <c r="B40" s="40">
        <v>3</v>
      </c>
      <c r="C40" s="40">
        <v>0</v>
      </c>
      <c r="D40" s="40"/>
      <c r="E40" s="40">
        <v>935</v>
      </c>
      <c r="F40" s="1">
        <f t="shared" si="0"/>
        <v>3</v>
      </c>
      <c r="G40" s="1">
        <f t="shared" si="1"/>
        <v>2805</v>
      </c>
      <c r="H40" s="1">
        <f t="shared" si="2"/>
        <v>0</v>
      </c>
      <c r="I40" s="40"/>
    </row>
    <row r="41" spans="1:9" s="6" customFormat="1" x14ac:dyDescent="0.2">
      <c r="A41" s="39" t="s">
        <v>167</v>
      </c>
      <c r="B41" s="40">
        <v>5</v>
      </c>
      <c r="C41" s="40">
        <v>5</v>
      </c>
      <c r="D41" s="40"/>
      <c r="E41" s="40">
        <v>895</v>
      </c>
      <c r="F41" s="1">
        <f t="shared" si="0"/>
        <v>0</v>
      </c>
      <c r="G41" s="1">
        <f t="shared" si="1"/>
        <v>0</v>
      </c>
      <c r="H41" s="1">
        <f t="shared" si="2"/>
        <v>4475</v>
      </c>
      <c r="I41" s="40"/>
    </row>
    <row r="42" spans="1:9" s="6" customFormat="1" x14ac:dyDescent="0.2">
      <c r="A42" s="39" t="s">
        <v>174</v>
      </c>
      <c r="B42" s="40">
        <v>5</v>
      </c>
      <c r="C42" s="40">
        <v>0</v>
      </c>
      <c r="D42" s="40">
        <v>5</v>
      </c>
      <c r="E42" s="40">
        <v>950</v>
      </c>
      <c r="F42" s="1">
        <f t="shared" si="0"/>
        <v>0</v>
      </c>
      <c r="G42" s="1">
        <f t="shared" si="1"/>
        <v>0</v>
      </c>
      <c r="H42" s="1">
        <f t="shared" si="2"/>
        <v>0</v>
      </c>
      <c r="I42" s="40"/>
    </row>
    <row r="43" spans="1:9" s="6" customFormat="1" x14ac:dyDescent="0.2">
      <c r="A43" s="39" t="s">
        <v>184</v>
      </c>
      <c r="B43" s="40">
        <v>11</v>
      </c>
      <c r="C43" s="40">
        <v>11</v>
      </c>
      <c r="D43" s="40"/>
      <c r="E43" s="40">
        <v>950</v>
      </c>
      <c r="F43" s="1">
        <f t="shared" si="0"/>
        <v>0</v>
      </c>
      <c r="G43" s="1">
        <f t="shared" si="1"/>
        <v>0</v>
      </c>
      <c r="H43" s="1">
        <f t="shared" si="2"/>
        <v>10450</v>
      </c>
      <c r="I43" s="40"/>
    </row>
    <row r="44" spans="1:9" s="6" customFormat="1" x14ac:dyDescent="0.2">
      <c r="A44" s="39" t="s">
        <v>175</v>
      </c>
      <c r="B44" s="40">
        <v>7</v>
      </c>
      <c r="C44" s="40">
        <v>7</v>
      </c>
      <c r="D44" s="40"/>
      <c r="E44" s="40">
        <v>950</v>
      </c>
      <c r="F44" s="1">
        <f t="shared" si="0"/>
        <v>0</v>
      </c>
      <c r="G44" s="1">
        <f t="shared" si="1"/>
        <v>0</v>
      </c>
      <c r="H44" s="1">
        <f t="shared" si="2"/>
        <v>6650</v>
      </c>
      <c r="I44" s="40"/>
    </row>
    <row r="45" spans="1:9" s="6" customFormat="1" x14ac:dyDescent="0.2">
      <c r="A45" s="39" t="s">
        <v>194</v>
      </c>
      <c r="B45" s="40">
        <v>11</v>
      </c>
      <c r="C45" s="40">
        <v>11</v>
      </c>
      <c r="D45" s="40"/>
      <c r="E45" s="40">
        <v>950</v>
      </c>
      <c r="F45" s="1">
        <f t="shared" si="0"/>
        <v>0</v>
      </c>
      <c r="G45" s="1">
        <f t="shared" si="1"/>
        <v>0</v>
      </c>
      <c r="H45" s="1">
        <f t="shared" si="2"/>
        <v>10450</v>
      </c>
      <c r="I45" s="40"/>
    </row>
    <row r="46" spans="1:9" s="6" customFormat="1" x14ac:dyDescent="0.2">
      <c r="A46" s="39" t="s">
        <v>186</v>
      </c>
      <c r="B46" s="40">
        <v>15</v>
      </c>
      <c r="C46" s="40">
        <v>15</v>
      </c>
      <c r="D46" s="40"/>
      <c r="E46" s="40">
        <v>995</v>
      </c>
      <c r="F46" s="1">
        <f t="shared" si="0"/>
        <v>0</v>
      </c>
      <c r="G46" s="1">
        <f t="shared" si="1"/>
        <v>0</v>
      </c>
      <c r="H46" s="1">
        <f t="shared" si="2"/>
        <v>14925</v>
      </c>
      <c r="I46" s="40"/>
    </row>
    <row r="47" spans="1:9" s="6" customFormat="1" x14ac:dyDescent="0.2">
      <c r="A47" s="39" t="s">
        <v>193</v>
      </c>
      <c r="B47" s="40">
        <v>13</v>
      </c>
      <c r="C47" s="40">
        <v>13</v>
      </c>
      <c r="D47" s="40"/>
      <c r="E47" s="40">
        <v>960</v>
      </c>
      <c r="F47" s="1">
        <f t="shared" si="0"/>
        <v>0</v>
      </c>
      <c r="G47" s="1">
        <f t="shared" si="1"/>
        <v>0</v>
      </c>
      <c r="H47" s="1">
        <f t="shared" si="2"/>
        <v>12480</v>
      </c>
      <c r="I47" s="40"/>
    </row>
    <row r="48" spans="1:9" s="6" customFormat="1" x14ac:dyDescent="0.2">
      <c r="A48" s="39" t="s">
        <v>197</v>
      </c>
      <c r="B48" s="40">
        <v>13</v>
      </c>
      <c r="C48" s="40">
        <v>11</v>
      </c>
      <c r="D48" s="40"/>
      <c r="E48" s="40">
        <v>950</v>
      </c>
      <c r="F48" s="1">
        <f t="shared" si="0"/>
        <v>2</v>
      </c>
      <c r="G48" s="1">
        <f t="shared" si="1"/>
        <v>1900</v>
      </c>
      <c r="H48" s="1">
        <f t="shared" si="2"/>
        <v>10450</v>
      </c>
      <c r="I48" s="40"/>
    </row>
    <row r="49" spans="1:9" s="6" customFormat="1" x14ac:dyDescent="0.2">
      <c r="A49" s="39" t="s">
        <v>198</v>
      </c>
      <c r="B49" s="40">
        <v>6</v>
      </c>
      <c r="C49" s="40">
        <v>4</v>
      </c>
      <c r="D49" s="40"/>
      <c r="E49" s="40">
        <v>845</v>
      </c>
      <c r="F49" s="1">
        <f t="shared" si="0"/>
        <v>2</v>
      </c>
      <c r="G49" s="1">
        <f t="shared" si="1"/>
        <v>1690</v>
      </c>
      <c r="H49" s="1">
        <f t="shared" si="2"/>
        <v>3380</v>
      </c>
      <c r="I49" s="40"/>
    </row>
    <row r="50" spans="1:9" s="6" customFormat="1" x14ac:dyDescent="0.2">
      <c r="A50" s="39" t="s">
        <v>196</v>
      </c>
      <c r="B50" s="40">
        <v>17</v>
      </c>
      <c r="C50" s="40">
        <v>17</v>
      </c>
      <c r="D50" s="40"/>
      <c r="E50" s="40">
        <v>950</v>
      </c>
      <c r="F50" s="1">
        <f t="shared" si="0"/>
        <v>0</v>
      </c>
      <c r="G50" s="1">
        <f t="shared" si="1"/>
        <v>0</v>
      </c>
      <c r="H50" s="1">
        <f t="shared" si="2"/>
        <v>16150</v>
      </c>
      <c r="I50" s="40"/>
    </row>
    <row r="51" spans="1:9" s="6" customFormat="1" x14ac:dyDescent="0.2">
      <c r="A51" s="39" t="s">
        <v>200</v>
      </c>
      <c r="B51" s="40">
        <v>6</v>
      </c>
      <c r="C51" s="40">
        <v>6</v>
      </c>
      <c r="D51" s="40"/>
      <c r="E51" s="40">
        <v>950</v>
      </c>
      <c r="F51" s="1">
        <f t="shared" si="0"/>
        <v>0</v>
      </c>
      <c r="G51" s="1">
        <f t="shared" si="1"/>
        <v>0</v>
      </c>
      <c r="H51" s="1">
        <f t="shared" si="2"/>
        <v>5700</v>
      </c>
      <c r="I51" s="40"/>
    </row>
    <row r="52" spans="1:9" s="6" customFormat="1" x14ac:dyDescent="0.2">
      <c r="A52" s="39" t="s">
        <v>216</v>
      </c>
      <c r="B52" s="40">
        <v>14</v>
      </c>
      <c r="C52" s="40">
        <v>13</v>
      </c>
      <c r="D52" s="40"/>
      <c r="E52" s="40">
        <v>925</v>
      </c>
      <c r="F52" s="1">
        <f t="shared" si="0"/>
        <v>1</v>
      </c>
      <c r="G52" s="1">
        <f t="shared" si="1"/>
        <v>925</v>
      </c>
      <c r="H52" s="1">
        <f t="shared" si="2"/>
        <v>12025</v>
      </c>
      <c r="I52" s="40"/>
    </row>
    <row r="53" spans="1:9" s="6" customFormat="1" x14ac:dyDescent="0.2">
      <c r="A53" s="39" t="s">
        <v>225</v>
      </c>
      <c r="B53" s="40">
        <v>13</v>
      </c>
      <c r="C53" s="40">
        <v>9</v>
      </c>
      <c r="D53" s="40"/>
      <c r="E53" s="40">
        <v>975</v>
      </c>
      <c r="F53" s="1">
        <f t="shared" si="0"/>
        <v>4</v>
      </c>
      <c r="G53" s="1">
        <f t="shared" si="1"/>
        <v>3900</v>
      </c>
      <c r="H53" s="1">
        <f t="shared" si="2"/>
        <v>8775</v>
      </c>
      <c r="I53" s="40"/>
    </row>
    <row r="54" spans="1:9" s="6" customFormat="1" x14ac:dyDescent="0.2">
      <c r="A54" s="39" t="s">
        <v>210</v>
      </c>
      <c r="B54" s="40">
        <v>6</v>
      </c>
      <c r="C54" s="40">
        <v>6</v>
      </c>
      <c r="D54" s="40"/>
      <c r="E54" s="40">
        <v>600</v>
      </c>
      <c r="F54" s="1">
        <f t="shared" si="0"/>
        <v>0</v>
      </c>
      <c r="G54" s="1">
        <f t="shared" si="1"/>
        <v>0</v>
      </c>
      <c r="H54" s="1">
        <f t="shared" si="2"/>
        <v>3600</v>
      </c>
      <c r="I54" s="40"/>
    </row>
    <row r="55" spans="1:9" s="6" customFormat="1" x14ac:dyDescent="0.2">
      <c r="A55" s="39" t="s">
        <v>240</v>
      </c>
      <c r="B55" s="40">
        <v>14</v>
      </c>
      <c r="C55" s="40">
        <v>12</v>
      </c>
      <c r="D55" s="40"/>
      <c r="E55" s="40">
        <v>1000</v>
      </c>
      <c r="F55" s="1">
        <f t="shared" si="0"/>
        <v>2</v>
      </c>
      <c r="G55" s="1">
        <f t="shared" si="1"/>
        <v>2000</v>
      </c>
      <c r="H55" s="1">
        <f t="shared" si="2"/>
        <v>12000</v>
      </c>
      <c r="I55" s="40"/>
    </row>
    <row r="56" spans="1:9" s="6" customFormat="1" x14ac:dyDescent="0.2">
      <c r="A56" s="39" t="s">
        <v>234</v>
      </c>
      <c r="B56" s="40">
        <v>15</v>
      </c>
      <c r="C56" s="40">
        <v>15</v>
      </c>
      <c r="D56" s="40"/>
      <c r="E56" s="40">
        <v>645</v>
      </c>
      <c r="F56" s="1">
        <f t="shared" si="0"/>
        <v>0</v>
      </c>
      <c r="G56" s="1">
        <f t="shared" si="1"/>
        <v>0</v>
      </c>
      <c r="H56" s="1">
        <f t="shared" si="2"/>
        <v>9675</v>
      </c>
      <c r="I56" s="40"/>
    </row>
    <row r="57" spans="1:9" s="6" customFormat="1" x14ac:dyDescent="0.2">
      <c r="A57" s="39"/>
      <c r="B57" s="40"/>
      <c r="C57" s="40"/>
      <c r="D57" s="40"/>
      <c r="E57" s="40"/>
      <c r="F57" s="1">
        <f t="shared" si="0"/>
        <v>0</v>
      </c>
      <c r="G57" s="1">
        <f t="shared" si="1"/>
        <v>0</v>
      </c>
      <c r="H57" s="1">
        <f t="shared" si="2"/>
        <v>0</v>
      </c>
      <c r="I57" s="40"/>
    </row>
    <row r="58" spans="1:9" s="6" customFormat="1" x14ac:dyDescent="0.2">
      <c r="A58" s="39" t="s">
        <v>29</v>
      </c>
      <c r="B58" s="40">
        <v>1</v>
      </c>
      <c r="C58" s="40">
        <v>1</v>
      </c>
      <c r="D58" s="40"/>
      <c r="E58" s="40">
        <v>200</v>
      </c>
      <c r="F58" s="1">
        <f t="shared" si="0"/>
        <v>0</v>
      </c>
      <c r="G58" s="1">
        <f t="shared" si="1"/>
        <v>0</v>
      </c>
      <c r="H58" s="1">
        <f t="shared" si="2"/>
        <v>200</v>
      </c>
      <c r="I58" s="40" t="s">
        <v>48</v>
      </c>
    </row>
    <row r="59" spans="1:9" s="6" customFormat="1" x14ac:dyDescent="0.2">
      <c r="A59" s="39" t="s">
        <v>33</v>
      </c>
      <c r="B59" s="40">
        <v>5</v>
      </c>
      <c r="C59" s="40">
        <v>5</v>
      </c>
      <c r="D59" s="40"/>
      <c r="E59" s="40">
        <v>250</v>
      </c>
      <c r="F59" s="1">
        <f t="shared" si="0"/>
        <v>0</v>
      </c>
      <c r="G59" s="1">
        <f t="shared" si="1"/>
        <v>0</v>
      </c>
      <c r="H59" s="1">
        <f t="shared" si="2"/>
        <v>1250</v>
      </c>
      <c r="I59" s="40" t="s">
        <v>48</v>
      </c>
    </row>
    <row r="60" spans="1:9" s="6" customFormat="1" x14ac:dyDescent="0.2">
      <c r="A60" s="39" t="s">
        <v>32</v>
      </c>
      <c r="B60" s="40">
        <v>7</v>
      </c>
      <c r="C60" s="40">
        <v>7</v>
      </c>
      <c r="D60" s="40"/>
      <c r="E60" s="40">
        <v>250</v>
      </c>
      <c r="F60" s="1">
        <f t="shared" si="0"/>
        <v>0</v>
      </c>
      <c r="G60" s="1">
        <f t="shared" si="1"/>
        <v>0</v>
      </c>
      <c r="H60" s="1">
        <f t="shared" si="2"/>
        <v>1750</v>
      </c>
      <c r="I60" s="40" t="s">
        <v>48</v>
      </c>
    </row>
    <row r="61" spans="1:9" s="6" customFormat="1" x14ac:dyDescent="0.2">
      <c r="A61" s="39" t="s">
        <v>28</v>
      </c>
      <c r="B61" s="40">
        <v>14</v>
      </c>
      <c r="C61" s="40">
        <v>14</v>
      </c>
      <c r="D61" s="40"/>
      <c r="E61" s="40">
        <v>930</v>
      </c>
      <c r="F61" s="1">
        <f t="shared" si="0"/>
        <v>0</v>
      </c>
      <c r="G61" s="1">
        <f t="shared" si="1"/>
        <v>0</v>
      </c>
      <c r="H61" s="1">
        <f t="shared" si="2"/>
        <v>13020</v>
      </c>
      <c r="I61" s="40"/>
    </row>
    <row r="62" spans="1:9" s="6" customFormat="1" x14ac:dyDescent="0.2">
      <c r="A62" s="39" t="s">
        <v>23</v>
      </c>
      <c r="B62" s="40">
        <v>4</v>
      </c>
      <c r="C62" s="40">
        <v>4</v>
      </c>
      <c r="D62" s="40"/>
      <c r="E62" s="40">
        <v>530</v>
      </c>
      <c r="F62" s="1">
        <f t="shared" si="0"/>
        <v>0</v>
      </c>
      <c r="G62" s="1">
        <f t="shared" si="1"/>
        <v>0</v>
      </c>
      <c r="H62" s="1">
        <f t="shared" si="2"/>
        <v>2120</v>
      </c>
      <c r="I62" s="40"/>
    </row>
    <row r="63" spans="1:9" s="6" customFormat="1" x14ac:dyDescent="0.2">
      <c r="A63" s="39" t="s">
        <v>30</v>
      </c>
      <c r="B63" s="40">
        <v>35</v>
      </c>
      <c r="C63" s="40">
        <v>35</v>
      </c>
      <c r="D63" s="40"/>
      <c r="E63" s="40">
        <v>850</v>
      </c>
      <c r="F63" s="1">
        <f t="shared" si="0"/>
        <v>0</v>
      </c>
      <c r="G63" s="1">
        <f t="shared" si="1"/>
        <v>0</v>
      </c>
      <c r="H63" s="1">
        <f t="shared" si="2"/>
        <v>29750</v>
      </c>
      <c r="I63" s="40"/>
    </row>
    <row r="64" spans="1:9" s="6" customFormat="1" x14ac:dyDescent="0.2">
      <c r="A64" s="39" t="s">
        <v>22</v>
      </c>
      <c r="B64" s="40">
        <v>1</v>
      </c>
      <c r="C64" s="40">
        <v>1</v>
      </c>
      <c r="D64" s="40"/>
      <c r="E64" s="40">
        <v>750</v>
      </c>
      <c r="F64" s="1">
        <f t="shared" si="0"/>
        <v>0</v>
      </c>
      <c r="G64" s="1">
        <f t="shared" si="1"/>
        <v>0</v>
      </c>
      <c r="H64" s="1">
        <f t="shared" si="2"/>
        <v>750</v>
      </c>
      <c r="I64" s="40"/>
    </row>
    <row r="65" spans="1:9" s="6" customFormat="1" x14ac:dyDescent="0.2">
      <c r="A65" s="39" t="s">
        <v>24</v>
      </c>
      <c r="B65" s="40">
        <v>2</v>
      </c>
      <c r="C65" s="40">
        <v>2</v>
      </c>
      <c r="D65" s="40"/>
      <c r="E65" s="40">
        <v>550</v>
      </c>
      <c r="F65" s="1">
        <f t="shared" si="0"/>
        <v>0</v>
      </c>
      <c r="G65" s="1">
        <f t="shared" si="1"/>
        <v>0</v>
      </c>
      <c r="H65" s="1">
        <f t="shared" si="2"/>
        <v>1100</v>
      </c>
      <c r="I65" s="40"/>
    </row>
    <row r="66" spans="1:9" s="6" customFormat="1" x14ac:dyDescent="0.2">
      <c r="A66" s="39" t="s">
        <v>27</v>
      </c>
      <c r="B66" s="40">
        <v>44</v>
      </c>
      <c r="C66" s="40">
        <v>39</v>
      </c>
      <c r="D66" s="40"/>
      <c r="E66" s="40">
        <v>930</v>
      </c>
      <c r="F66" s="1">
        <f t="shared" si="0"/>
        <v>5</v>
      </c>
      <c r="G66" s="1">
        <f t="shared" si="1"/>
        <v>4650</v>
      </c>
      <c r="H66" s="1">
        <f t="shared" si="2"/>
        <v>36270</v>
      </c>
      <c r="I66" s="40"/>
    </row>
    <row r="67" spans="1:9" s="6" customFormat="1" x14ac:dyDescent="0.2">
      <c r="A67" s="39" t="s">
        <v>31</v>
      </c>
      <c r="B67" s="40">
        <v>3</v>
      </c>
      <c r="C67" s="40">
        <v>3</v>
      </c>
      <c r="D67" s="40"/>
      <c r="E67" s="40">
        <v>750</v>
      </c>
      <c r="F67" s="1">
        <f t="shared" si="0"/>
        <v>0</v>
      </c>
      <c r="G67" s="1">
        <f t="shared" si="1"/>
        <v>0</v>
      </c>
      <c r="H67" s="1">
        <f t="shared" si="2"/>
        <v>2250</v>
      </c>
      <c r="I67" s="40"/>
    </row>
    <row r="68" spans="1:9" s="6" customFormat="1" x14ac:dyDescent="0.2">
      <c r="A68" s="39" t="s">
        <v>26</v>
      </c>
      <c r="B68" s="40">
        <v>4</v>
      </c>
      <c r="C68" s="40">
        <v>4</v>
      </c>
      <c r="D68" s="40"/>
      <c r="E68" s="40">
        <v>700</v>
      </c>
      <c r="F68" s="1">
        <f t="shared" si="0"/>
        <v>0</v>
      </c>
      <c r="G68" s="1">
        <f t="shared" si="1"/>
        <v>0</v>
      </c>
      <c r="H68" s="1">
        <f t="shared" si="2"/>
        <v>2800</v>
      </c>
      <c r="I68" s="40"/>
    </row>
    <row r="69" spans="1:9" s="6" customFormat="1" x14ac:dyDescent="0.2">
      <c r="A69" s="39" t="s">
        <v>35</v>
      </c>
      <c r="B69" s="40">
        <v>8</v>
      </c>
      <c r="C69" s="40">
        <v>8</v>
      </c>
      <c r="D69" s="40"/>
      <c r="E69" s="40">
        <v>780</v>
      </c>
      <c r="F69" s="1">
        <f t="shared" si="0"/>
        <v>0</v>
      </c>
      <c r="G69" s="1">
        <f t="shared" si="1"/>
        <v>0</v>
      </c>
      <c r="H69" s="1">
        <f t="shared" si="2"/>
        <v>6240</v>
      </c>
      <c r="I69" s="40"/>
    </row>
    <row r="70" spans="1:9" s="6" customFormat="1" x14ac:dyDescent="0.2">
      <c r="A70" s="39" t="s">
        <v>34</v>
      </c>
      <c r="B70" s="40">
        <v>5</v>
      </c>
      <c r="C70" s="40">
        <v>5</v>
      </c>
      <c r="D70" s="40"/>
      <c r="E70" s="40">
        <v>700</v>
      </c>
      <c r="F70" s="1">
        <f t="shared" si="0"/>
        <v>0</v>
      </c>
      <c r="G70" s="1">
        <f t="shared" si="1"/>
        <v>0</v>
      </c>
      <c r="H70" s="1">
        <f t="shared" si="2"/>
        <v>3500</v>
      </c>
      <c r="I70" s="40"/>
    </row>
    <row r="71" spans="1:9" s="6" customFormat="1" x14ac:dyDescent="0.2">
      <c r="A71" s="39" t="s">
        <v>37</v>
      </c>
      <c r="B71" s="40">
        <v>8</v>
      </c>
      <c r="C71" s="40">
        <v>8</v>
      </c>
      <c r="D71" s="40"/>
      <c r="E71" s="40">
        <v>820</v>
      </c>
      <c r="F71" s="1">
        <f t="shared" si="0"/>
        <v>0</v>
      </c>
      <c r="G71" s="1">
        <f t="shared" si="1"/>
        <v>0</v>
      </c>
      <c r="H71" s="1">
        <f t="shared" si="2"/>
        <v>6560</v>
      </c>
      <c r="I71" s="40"/>
    </row>
    <row r="72" spans="1:9" s="6" customFormat="1" x14ac:dyDescent="0.2">
      <c r="A72" s="39" t="s">
        <v>64</v>
      </c>
      <c r="B72" s="40">
        <v>26</v>
      </c>
      <c r="C72" s="40">
        <v>12</v>
      </c>
      <c r="D72" s="40"/>
      <c r="E72" s="40">
        <v>850</v>
      </c>
      <c r="F72" s="1">
        <f t="shared" si="0"/>
        <v>14</v>
      </c>
      <c r="G72" s="1">
        <f t="shared" si="1"/>
        <v>11900</v>
      </c>
      <c r="H72" s="1">
        <f t="shared" si="2"/>
        <v>10200</v>
      </c>
      <c r="I72" s="40"/>
    </row>
    <row r="73" spans="1:9" s="6" customFormat="1" x14ac:dyDescent="0.2">
      <c r="A73" s="39" t="s">
        <v>38</v>
      </c>
      <c r="B73" s="40">
        <v>0</v>
      </c>
      <c r="C73" s="40">
        <v>0</v>
      </c>
      <c r="D73" s="40"/>
      <c r="E73" s="40">
        <v>800</v>
      </c>
      <c r="F73" s="1">
        <f t="shared" si="0"/>
        <v>0</v>
      </c>
      <c r="G73" s="1">
        <f t="shared" si="1"/>
        <v>0</v>
      </c>
      <c r="H73" s="1">
        <f t="shared" si="2"/>
        <v>0</v>
      </c>
      <c r="I73" s="40"/>
    </row>
    <row r="74" spans="1:9" s="6" customFormat="1" x14ac:dyDescent="0.2">
      <c r="A74" s="39" t="s">
        <v>39</v>
      </c>
      <c r="B74" s="40">
        <v>13</v>
      </c>
      <c r="C74" s="40">
        <v>13</v>
      </c>
      <c r="D74" s="40"/>
      <c r="E74" s="40">
        <v>800</v>
      </c>
      <c r="F74" s="1">
        <f t="shared" si="0"/>
        <v>0</v>
      </c>
      <c r="G74" s="1">
        <f t="shared" si="1"/>
        <v>0</v>
      </c>
      <c r="H74" s="1">
        <f t="shared" si="2"/>
        <v>10400</v>
      </c>
      <c r="I74" s="40"/>
    </row>
    <row r="75" spans="1:9" s="6" customFormat="1" x14ac:dyDescent="0.2">
      <c r="A75" s="39" t="s">
        <v>52</v>
      </c>
      <c r="B75" s="40">
        <v>5</v>
      </c>
      <c r="C75" s="40">
        <v>5</v>
      </c>
      <c r="D75" s="40"/>
      <c r="E75" s="40">
        <v>480</v>
      </c>
      <c r="F75" s="1">
        <f t="shared" si="0"/>
        <v>0</v>
      </c>
      <c r="G75" s="1">
        <f t="shared" si="1"/>
        <v>0</v>
      </c>
      <c r="H75" s="1">
        <f t="shared" si="2"/>
        <v>2400</v>
      </c>
      <c r="I75" s="40"/>
    </row>
    <row r="76" spans="1:9" s="6" customFormat="1" x14ac:dyDescent="0.2">
      <c r="A76" s="39" t="s">
        <v>40</v>
      </c>
      <c r="B76" s="40">
        <v>3</v>
      </c>
      <c r="C76" s="40">
        <v>3</v>
      </c>
      <c r="D76" s="40"/>
      <c r="E76" s="40">
        <v>600</v>
      </c>
      <c r="F76" s="1">
        <f t="shared" si="0"/>
        <v>0</v>
      </c>
      <c r="G76" s="1">
        <f t="shared" si="1"/>
        <v>0</v>
      </c>
      <c r="H76" s="1">
        <f t="shared" si="2"/>
        <v>1800</v>
      </c>
      <c r="I76" s="40" t="s">
        <v>48</v>
      </c>
    </row>
    <row r="77" spans="1:9" s="6" customFormat="1" x14ac:dyDescent="0.2">
      <c r="A77" s="39" t="s">
        <v>49</v>
      </c>
      <c r="B77" s="40">
        <v>6</v>
      </c>
      <c r="C77" s="40">
        <v>6</v>
      </c>
      <c r="D77" s="40"/>
      <c r="E77" s="40">
        <v>680</v>
      </c>
      <c r="F77" s="1">
        <f t="shared" si="0"/>
        <v>0</v>
      </c>
      <c r="G77" s="1">
        <f t="shared" si="1"/>
        <v>0</v>
      </c>
      <c r="H77" s="1">
        <f t="shared" si="2"/>
        <v>4080</v>
      </c>
      <c r="I77" s="40"/>
    </row>
    <row r="78" spans="1:9" s="6" customFormat="1" x14ac:dyDescent="0.2">
      <c r="A78" s="39" t="s">
        <v>45</v>
      </c>
      <c r="B78" s="40">
        <v>4</v>
      </c>
      <c r="C78" s="40">
        <v>4</v>
      </c>
      <c r="D78" s="40"/>
      <c r="E78" s="40">
        <v>600</v>
      </c>
      <c r="F78" s="1">
        <f t="shared" si="0"/>
        <v>0</v>
      </c>
      <c r="G78" s="1">
        <f t="shared" si="1"/>
        <v>0</v>
      </c>
      <c r="H78" s="1">
        <f t="shared" si="2"/>
        <v>2400</v>
      </c>
      <c r="I78" s="40" t="s">
        <v>48</v>
      </c>
    </row>
    <row r="79" spans="1:9" s="6" customFormat="1" x14ac:dyDescent="0.2">
      <c r="A79" s="39" t="s">
        <v>55</v>
      </c>
      <c r="B79" s="40">
        <v>2</v>
      </c>
      <c r="C79" s="40">
        <v>2</v>
      </c>
      <c r="D79" s="40"/>
      <c r="E79" s="40">
        <v>820</v>
      </c>
      <c r="F79" s="1">
        <f t="shared" si="0"/>
        <v>0</v>
      </c>
      <c r="G79" s="1">
        <f t="shared" si="1"/>
        <v>0</v>
      </c>
      <c r="H79" s="1">
        <f t="shared" si="2"/>
        <v>1640</v>
      </c>
      <c r="I79" s="40"/>
    </row>
    <row r="80" spans="1:9" s="6" customFormat="1" x14ac:dyDescent="0.2">
      <c r="A80" s="39" t="s">
        <v>59</v>
      </c>
      <c r="B80" s="40">
        <v>7</v>
      </c>
      <c r="C80" s="40">
        <v>7</v>
      </c>
      <c r="D80" s="40"/>
      <c r="E80" s="40">
        <v>860</v>
      </c>
      <c r="F80" s="1">
        <f t="shared" si="0"/>
        <v>0</v>
      </c>
      <c r="G80" s="1">
        <f t="shared" si="1"/>
        <v>0</v>
      </c>
      <c r="H80" s="1">
        <f t="shared" si="2"/>
        <v>6020</v>
      </c>
      <c r="I80" s="40"/>
    </row>
    <row r="81" spans="1:9" s="6" customFormat="1" x14ac:dyDescent="0.2">
      <c r="A81" s="39" t="s">
        <v>65</v>
      </c>
      <c r="B81" s="40">
        <v>4</v>
      </c>
      <c r="C81" s="40">
        <v>4</v>
      </c>
      <c r="D81" s="40"/>
      <c r="E81" s="40">
        <v>850</v>
      </c>
      <c r="F81" s="1">
        <f t="shared" si="0"/>
        <v>0</v>
      </c>
      <c r="G81" s="1">
        <f t="shared" si="1"/>
        <v>0</v>
      </c>
      <c r="H81" s="1">
        <f t="shared" si="2"/>
        <v>3400</v>
      </c>
      <c r="I81" s="40"/>
    </row>
    <row r="82" spans="1:9" s="6" customFormat="1" x14ac:dyDescent="0.2">
      <c r="A82" s="39" t="s">
        <v>60</v>
      </c>
      <c r="B82" s="40">
        <v>8</v>
      </c>
      <c r="C82" s="40">
        <v>8</v>
      </c>
      <c r="D82" s="40"/>
      <c r="E82" s="40">
        <v>1100</v>
      </c>
      <c r="F82" s="1">
        <f t="shared" si="0"/>
        <v>0</v>
      </c>
      <c r="G82" s="1">
        <f t="shared" si="1"/>
        <v>0</v>
      </c>
      <c r="H82" s="1">
        <f t="shared" si="2"/>
        <v>8800</v>
      </c>
      <c r="I82" s="40"/>
    </row>
    <row r="83" spans="1:9" s="6" customFormat="1" x14ac:dyDescent="0.2">
      <c r="A83" s="39" t="s">
        <v>61</v>
      </c>
      <c r="B83" s="40">
        <v>0</v>
      </c>
      <c r="C83" s="40">
        <v>0</v>
      </c>
      <c r="D83" s="40"/>
      <c r="E83" s="40">
        <v>850</v>
      </c>
      <c r="F83" s="1">
        <f t="shared" si="0"/>
        <v>0</v>
      </c>
      <c r="G83" s="1">
        <f t="shared" si="1"/>
        <v>0</v>
      </c>
      <c r="H83" s="1">
        <f t="shared" si="2"/>
        <v>0</v>
      </c>
      <c r="I83" s="40"/>
    </row>
    <row r="84" spans="1:9" s="6" customFormat="1" x14ac:dyDescent="0.2">
      <c r="A84" s="39" t="s">
        <v>66</v>
      </c>
      <c r="B84" s="40">
        <v>10</v>
      </c>
      <c r="C84" s="40">
        <v>10</v>
      </c>
      <c r="D84" s="40"/>
      <c r="E84" s="40">
        <v>850</v>
      </c>
      <c r="F84" s="1">
        <f t="shared" si="0"/>
        <v>0</v>
      </c>
      <c r="G84" s="1">
        <f t="shared" si="1"/>
        <v>0</v>
      </c>
      <c r="H84" s="1">
        <f t="shared" si="2"/>
        <v>8500</v>
      </c>
      <c r="I84" s="40"/>
    </row>
    <row r="85" spans="1:9" s="6" customFormat="1" x14ac:dyDescent="0.2">
      <c r="A85" s="39" t="s">
        <v>72</v>
      </c>
      <c r="B85" s="40">
        <v>3</v>
      </c>
      <c r="C85" s="40">
        <v>3</v>
      </c>
      <c r="D85" s="40"/>
      <c r="E85" s="40">
        <v>800</v>
      </c>
      <c r="F85" s="1">
        <f t="shared" si="0"/>
        <v>0</v>
      </c>
      <c r="G85" s="1">
        <f t="shared" si="1"/>
        <v>0</v>
      </c>
      <c r="H85" s="1">
        <f t="shared" si="2"/>
        <v>2400</v>
      </c>
      <c r="I85" s="40"/>
    </row>
    <row r="86" spans="1:9" s="6" customFormat="1" x14ac:dyDescent="0.2">
      <c r="A86" s="39" t="s">
        <v>76</v>
      </c>
      <c r="B86" s="40">
        <v>5</v>
      </c>
      <c r="C86" s="40">
        <v>5</v>
      </c>
      <c r="D86" s="40"/>
      <c r="E86" s="40">
        <v>750</v>
      </c>
      <c r="F86" s="1">
        <f t="shared" si="0"/>
        <v>0</v>
      </c>
      <c r="G86" s="1">
        <f t="shared" si="1"/>
        <v>0</v>
      </c>
      <c r="H86" s="1">
        <f t="shared" si="2"/>
        <v>3750</v>
      </c>
      <c r="I86" s="40"/>
    </row>
    <row r="87" spans="1:9" s="6" customFormat="1" x14ac:dyDescent="0.2">
      <c r="A87" s="39" t="s">
        <v>82</v>
      </c>
      <c r="B87" s="40">
        <v>5</v>
      </c>
      <c r="C87" s="40">
        <v>5</v>
      </c>
      <c r="D87" s="40"/>
      <c r="E87" s="40">
        <v>800</v>
      </c>
      <c r="F87" s="1">
        <f t="shared" si="0"/>
        <v>0</v>
      </c>
      <c r="G87" s="1">
        <f t="shared" si="1"/>
        <v>0</v>
      </c>
      <c r="H87" s="1">
        <f t="shared" si="2"/>
        <v>4000</v>
      </c>
      <c r="I87" s="40"/>
    </row>
    <row r="88" spans="1:9" s="6" customFormat="1" x14ac:dyDescent="0.2">
      <c r="A88" s="39" t="s">
        <v>85</v>
      </c>
      <c r="B88" s="40">
        <v>2</v>
      </c>
      <c r="C88" s="40">
        <v>2</v>
      </c>
      <c r="D88" s="40"/>
      <c r="E88" s="40">
        <v>850</v>
      </c>
      <c r="F88" s="1">
        <f t="shared" si="0"/>
        <v>0</v>
      </c>
      <c r="G88" s="1">
        <f t="shared" si="1"/>
        <v>0</v>
      </c>
      <c r="H88" s="1">
        <f t="shared" si="2"/>
        <v>1700</v>
      </c>
      <c r="I88" s="40"/>
    </row>
    <row r="89" spans="1:9" s="6" customFormat="1" x14ac:dyDescent="0.2">
      <c r="A89" s="39" t="s">
        <v>93</v>
      </c>
      <c r="B89" s="40">
        <v>3</v>
      </c>
      <c r="C89" s="40">
        <v>3</v>
      </c>
      <c r="D89" s="40"/>
      <c r="E89" s="40">
        <v>800</v>
      </c>
      <c r="F89" s="1">
        <f t="shared" si="0"/>
        <v>0</v>
      </c>
      <c r="G89" s="1">
        <f t="shared" si="1"/>
        <v>0</v>
      </c>
      <c r="H89" s="1">
        <f t="shared" si="2"/>
        <v>2400</v>
      </c>
      <c r="I89" s="40"/>
    </row>
    <row r="90" spans="1:9" s="6" customFormat="1" x14ac:dyDescent="0.2">
      <c r="A90" s="39" t="s">
        <v>132</v>
      </c>
      <c r="B90" s="40">
        <v>3</v>
      </c>
      <c r="C90" s="40">
        <v>3</v>
      </c>
      <c r="D90" s="40"/>
      <c r="E90" s="40">
        <v>880</v>
      </c>
      <c r="F90" s="1">
        <f t="shared" si="0"/>
        <v>0</v>
      </c>
      <c r="G90" s="1">
        <f t="shared" si="1"/>
        <v>0</v>
      </c>
      <c r="H90" s="1">
        <f t="shared" si="2"/>
        <v>2640</v>
      </c>
      <c r="I90" s="40"/>
    </row>
    <row r="91" spans="1:9" s="6" customFormat="1" x14ac:dyDescent="0.2">
      <c r="A91" s="39" t="s">
        <v>138</v>
      </c>
      <c r="B91" s="40">
        <v>21</v>
      </c>
      <c r="C91" s="40">
        <v>21</v>
      </c>
      <c r="D91" s="40"/>
      <c r="E91" s="40">
        <v>730</v>
      </c>
      <c r="F91" s="1">
        <f t="shared" si="0"/>
        <v>0</v>
      </c>
      <c r="G91" s="1">
        <f t="shared" si="1"/>
        <v>0</v>
      </c>
      <c r="H91" s="1">
        <f t="shared" si="2"/>
        <v>15330</v>
      </c>
      <c r="I91" s="40"/>
    </row>
    <row r="92" spans="1:9" s="6" customFormat="1" x14ac:dyDescent="0.2">
      <c r="A92" s="39" t="s">
        <v>95</v>
      </c>
      <c r="B92" s="40">
        <v>4</v>
      </c>
      <c r="C92" s="40">
        <v>4</v>
      </c>
      <c r="D92" s="40"/>
      <c r="E92" s="40">
        <v>930</v>
      </c>
      <c r="F92" s="1">
        <f t="shared" si="0"/>
        <v>0</v>
      </c>
      <c r="G92" s="1">
        <f t="shared" si="1"/>
        <v>0</v>
      </c>
      <c r="H92" s="1">
        <f t="shared" si="2"/>
        <v>3720</v>
      </c>
      <c r="I92" s="40"/>
    </row>
    <row r="93" spans="1:9" s="6" customFormat="1" x14ac:dyDescent="0.2">
      <c r="A93" s="39" t="s">
        <v>97</v>
      </c>
      <c r="B93" s="40">
        <v>2</v>
      </c>
      <c r="C93" s="40">
        <v>2</v>
      </c>
      <c r="D93" s="40"/>
      <c r="E93" s="40">
        <v>830</v>
      </c>
      <c r="F93" s="1">
        <f t="shared" si="0"/>
        <v>0</v>
      </c>
      <c r="G93" s="1">
        <f t="shared" si="1"/>
        <v>0</v>
      </c>
      <c r="H93" s="1">
        <f t="shared" si="2"/>
        <v>1660</v>
      </c>
      <c r="I93" s="40"/>
    </row>
    <row r="94" spans="1:9" s="6" customFormat="1" x14ac:dyDescent="0.2">
      <c r="A94" s="39" t="s">
        <v>98</v>
      </c>
      <c r="B94" s="40">
        <v>0</v>
      </c>
      <c r="C94" s="40">
        <v>0</v>
      </c>
      <c r="D94" s="40"/>
      <c r="E94" s="40">
        <v>930</v>
      </c>
      <c r="F94" s="1">
        <f t="shared" si="0"/>
        <v>0</v>
      </c>
      <c r="G94" s="1">
        <f t="shared" si="1"/>
        <v>0</v>
      </c>
      <c r="H94" s="1">
        <f t="shared" si="2"/>
        <v>0</v>
      </c>
      <c r="I94" s="40"/>
    </row>
    <row r="95" spans="1:9" s="6" customFormat="1" x14ac:dyDescent="0.2">
      <c r="A95" s="39" t="s">
        <v>99</v>
      </c>
      <c r="B95" s="40">
        <v>4</v>
      </c>
      <c r="C95" s="40">
        <v>4</v>
      </c>
      <c r="D95" s="40"/>
      <c r="E95" s="40">
        <v>700</v>
      </c>
      <c r="F95" s="1">
        <f t="shared" si="0"/>
        <v>0</v>
      </c>
      <c r="G95" s="1">
        <f t="shared" si="1"/>
        <v>0</v>
      </c>
      <c r="H95" s="1">
        <f t="shared" si="2"/>
        <v>2800</v>
      </c>
      <c r="I95" s="40"/>
    </row>
    <row r="96" spans="1:9" s="6" customFormat="1" x14ac:dyDescent="0.2">
      <c r="A96" s="39" t="s">
        <v>106</v>
      </c>
      <c r="B96" s="40">
        <v>3</v>
      </c>
      <c r="C96" s="40">
        <v>3</v>
      </c>
      <c r="D96" s="40"/>
      <c r="E96" s="40">
        <v>800</v>
      </c>
      <c r="F96" s="1">
        <f t="shared" si="0"/>
        <v>0</v>
      </c>
      <c r="G96" s="1">
        <f t="shared" si="1"/>
        <v>0</v>
      </c>
      <c r="H96" s="1">
        <f t="shared" si="2"/>
        <v>2400</v>
      </c>
      <c r="I96" s="40"/>
    </row>
    <row r="97" spans="1:9" s="6" customFormat="1" x14ac:dyDescent="0.2">
      <c r="A97" s="39" t="s">
        <v>107</v>
      </c>
      <c r="B97" s="40">
        <v>12</v>
      </c>
      <c r="C97" s="40">
        <v>11</v>
      </c>
      <c r="D97" s="40"/>
      <c r="E97" s="40">
        <v>900</v>
      </c>
      <c r="F97" s="1">
        <f t="shared" si="0"/>
        <v>1</v>
      </c>
      <c r="G97" s="1">
        <f t="shared" si="1"/>
        <v>900</v>
      </c>
      <c r="H97" s="1">
        <f t="shared" si="2"/>
        <v>9900</v>
      </c>
      <c r="I97" s="40"/>
    </row>
    <row r="98" spans="1:9" s="6" customFormat="1" x14ac:dyDescent="0.2">
      <c r="A98" s="39" t="s">
        <v>109</v>
      </c>
      <c r="B98" s="40">
        <v>20</v>
      </c>
      <c r="C98" s="40">
        <v>20</v>
      </c>
      <c r="D98" s="40"/>
      <c r="E98" s="40">
        <v>850</v>
      </c>
      <c r="F98" s="1">
        <f t="shared" si="0"/>
        <v>0</v>
      </c>
      <c r="G98" s="1">
        <f t="shared" si="1"/>
        <v>0</v>
      </c>
      <c r="H98" s="1">
        <f t="shared" si="2"/>
        <v>17000</v>
      </c>
      <c r="I98" s="40"/>
    </row>
    <row r="99" spans="1:9" s="6" customFormat="1" x14ac:dyDescent="0.2">
      <c r="A99" s="39" t="s">
        <v>119</v>
      </c>
      <c r="B99" s="40">
        <v>6</v>
      </c>
      <c r="C99" s="40">
        <v>5</v>
      </c>
      <c r="D99" s="40"/>
      <c r="E99" s="40">
        <v>800</v>
      </c>
      <c r="F99" s="1">
        <f t="shared" si="0"/>
        <v>1</v>
      </c>
      <c r="G99" s="1">
        <f t="shared" si="1"/>
        <v>800</v>
      </c>
      <c r="H99" s="1">
        <f t="shared" si="2"/>
        <v>4000</v>
      </c>
      <c r="I99" s="40"/>
    </row>
    <row r="100" spans="1:9" s="6" customFormat="1" x14ac:dyDescent="0.2">
      <c r="A100" s="39" t="s">
        <v>118</v>
      </c>
      <c r="B100" s="40">
        <v>10</v>
      </c>
      <c r="C100" s="40">
        <v>10</v>
      </c>
      <c r="D100" s="40"/>
      <c r="E100" s="40">
        <v>800</v>
      </c>
      <c r="F100" s="1">
        <f t="shared" si="0"/>
        <v>0</v>
      </c>
      <c r="G100" s="1">
        <f t="shared" si="1"/>
        <v>0</v>
      </c>
      <c r="H100" s="1">
        <f t="shared" si="2"/>
        <v>8000</v>
      </c>
      <c r="I100" s="40"/>
    </row>
    <row r="101" spans="1:9" s="6" customFormat="1" x14ac:dyDescent="0.2">
      <c r="A101" s="39" t="s">
        <v>126</v>
      </c>
      <c r="B101" s="40">
        <v>14</v>
      </c>
      <c r="C101" s="40">
        <v>14</v>
      </c>
      <c r="D101" s="40"/>
      <c r="E101" s="40">
        <v>820</v>
      </c>
      <c r="F101" s="1">
        <f t="shared" si="0"/>
        <v>0</v>
      </c>
      <c r="G101" s="1">
        <f t="shared" si="1"/>
        <v>0</v>
      </c>
      <c r="H101" s="1">
        <f t="shared" si="2"/>
        <v>11480</v>
      </c>
      <c r="I101" s="40"/>
    </row>
    <row r="102" spans="1:9" s="6" customFormat="1" x14ac:dyDescent="0.2">
      <c r="A102" s="39" t="s">
        <v>125</v>
      </c>
      <c r="B102" s="40">
        <v>9</v>
      </c>
      <c r="C102" s="40">
        <v>9</v>
      </c>
      <c r="D102" s="40"/>
      <c r="E102" s="40">
        <v>930</v>
      </c>
      <c r="F102" s="1">
        <f t="shared" si="0"/>
        <v>0</v>
      </c>
      <c r="G102" s="1">
        <f t="shared" si="1"/>
        <v>0</v>
      </c>
      <c r="H102" s="1">
        <f t="shared" si="2"/>
        <v>8370</v>
      </c>
      <c r="I102" s="40"/>
    </row>
    <row r="103" spans="1:9" s="6" customFormat="1" x14ac:dyDescent="0.2">
      <c r="A103" s="39" t="s">
        <v>162</v>
      </c>
      <c r="B103" s="40">
        <v>1</v>
      </c>
      <c r="C103" s="40">
        <v>1</v>
      </c>
      <c r="D103" s="40"/>
      <c r="E103" s="40">
        <v>550</v>
      </c>
      <c r="F103" s="1">
        <f t="shared" si="0"/>
        <v>0</v>
      </c>
      <c r="G103" s="1">
        <f t="shared" si="1"/>
        <v>0</v>
      </c>
      <c r="H103" s="1">
        <f t="shared" si="2"/>
        <v>550</v>
      </c>
      <c r="I103" s="40"/>
    </row>
    <row r="104" spans="1:9" s="6" customFormat="1" x14ac:dyDescent="0.2">
      <c r="A104" s="39" t="s">
        <v>169</v>
      </c>
      <c r="B104" s="40">
        <v>4</v>
      </c>
      <c r="C104" s="40">
        <v>0</v>
      </c>
      <c r="D104" s="40">
        <v>4</v>
      </c>
      <c r="E104" s="40">
        <v>850</v>
      </c>
      <c r="F104" s="1">
        <f t="shared" si="0"/>
        <v>0</v>
      </c>
      <c r="G104" s="1">
        <f t="shared" si="1"/>
        <v>0</v>
      </c>
      <c r="H104" s="1">
        <f t="shared" si="2"/>
        <v>0</v>
      </c>
      <c r="I104" s="40"/>
    </row>
    <row r="105" spans="1:9" s="6" customFormat="1" x14ac:dyDescent="0.2">
      <c r="A105" s="39" t="s">
        <v>176</v>
      </c>
      <c r="B105" s="40">
        <v>2</v>
      </c>
      <c r="C105" s="40">
        <v>0</v>
      </c>
      <c r="D105" s="40">
        <v>2</v>
      </c>
      <c r="E105" s="40">
        <v>850</v>
      </c>
      <c r="F105" s="1">
        <f t="shared" si="0"/>
        <v>0</v>
      </c>
      <c r="G105" s="1">
        <f t="shared" si="1"/>
        <v>0</v>
      </c>
      <c r="H105" s="1">
        <f t="shared" si="2"/>
        <v>0</v>
      </c>
      <c r="I105" s="40"/>
    </row>
    <row r="106" spans="1:9" s="6" customFormat="1" x14ac:dyDescent="0.2">
      <c r="A106" s="39" t="s">
        <v>177</v>
      </c>
      <c r="B106" s="40">
        <v>2</v>
      </c>
      <c r="C106" s="40">
        <v>2</v>
      </c>
      <c r="D106" s="40"/>
      <c r="E106" s="40">
        <v>920</v>
      </c>
      <c r="F106" s="1">
        <f t="shared" si="0"/>
        <v>0</v>
      </c>
      <c r="G106" s="1">
        <f t="shared" si="1"/>
        <v>0</v>
      </c>
      <c r="H106" s="1">
        <f t="shared" si="2"/>
        <v>1840</v>
      </c>
      <c r="I106" s="40"/>
    </row>
    <row r="107" spans="1:9" s="6" customFormat="1" x14ac:dyDescent="0.2">
      <c r="A107" s="39" t="s">
        <v>211</v>
      </c>
      <c r="B107" s="40">
        <v>7</v>
      </c>
      <c r="C107" s="40">
        <v>6</v>
      </c>
      <c r="D107" s="40"/>
      <c r="E107" s="40">
        <v>1100</v>
      </c>
      <c r="F107" s="1">
        <f t="shared" si="0"/>
        <v>1</v>
      </c>
      <c r="G107" s="1">
        <f t="shared" si="1"/>
        <v>1100</v>
      </c>
      <c r="H107" s="1">
        <f t="shared" si="2"/>
        <v>6600</v>
      </c>
      <c r="I107" s="40"/>
    </row>
    <row r="108" spans="1:9" s="6" customFormat="1" x14ac:dyDescent="0.2">
      <c r="A108" s="39" t="s">
        <v>226</v>
      </c>
      <c r="B108" s="40">
        <v>4</v>
      </c>
      <c r="C108" s="40">
        <v>4</v>
      </c>
      <c r="D108" s="40"/>
      <c r="E108" s="40">
        <v>750</v>
      </c>
      <c r="F108" s="1">
        <f t="shared" si="0"/>
        <v>0</v>
      </c>
      <c r="G108" s="1">
        <f t="shared" si="1"/>
        <v>0</v>
      </c>
      <c r="H108" s="1">
        <f t="shared" si="2"/>
        <v>3000</v>
      </c>
      <c r="I108" s="40"/>
    </row>
    <row r="109" spans="1:9" s="6" customFormat="1" x14ac:dyDescent="0.2">
      <c r="A109" s="39" t="s">
        <v>58</v>
      </c>
      <c r="B109" s="40">
        <v>20</v>
      </c>
      <c r="C109" s="40">
        <v>20</v>
      </c>
      <c r="D109" s="40"/>
      <c r="E109" s="40">
        <v>130</v>
      </c>
      <c r="F109" s="1">
        <f t="shared" si="0"/>
        <v>0</v>
      </c>
      <c r="G109" s="1">
        <f t="shared" si="1"/>
        <v>0</v>
      </c>
      <c r="H109" s="1">
        <f t="shared" si="2"/>
        <v>2600</v>
      </c>
      <c r="I109" s="40"/>
    </row>
    <row r="110" spans="1:9" s="6" customFormat="1" x14ac:dyDescent="0.2">
      <c r="A110" s="39" t="s">
        <v>165</v>
      </c>
      <c r="B110" s="40">
        <v>1</v>
      </c>
      <c r="C110" s="40">
        <v>1</v>
      </c>
      <c r="D110" s="40"/>
      <c r="E110" s="40">
        <v>60</v>
      </c>
      <c r="F110" s="1">
        <f t="shared" si="0"/>
        <v>0</v>
      </c>
      <c r="G110" s="1">
        <f t="shared" si="1"/>
        <v>0</v>
      </c>
      <c r="H110" s="1">
        <f t="shared" si="2"/>
        <v>60</v>
      </c>
      <c r="I110" s="40"/>
    </row>
    <row r="111" spans="1:9" s="6" customFormat="1" x14ac:dyDescent="0.2">
      <c r="A111" s="39"/>
      <c r="B111" s="40"/>
      <c r="C111" s="40"/>
      <c r="D111" s="40"/>
      <c r="E111" s="40"/>
      <c r="F111" s="1">
        <f t="shared" si="0"/>
        <v>0</v>
      </c>
      <c r="G111" s="1">
        <f t="shared" si="1"/>
        <v>0</v>
      </c>
      <c r="H111" s="1">
        <f t="shared" si="2"/>
        <v>0</v>
      </c>
      <c r="I111" s="40"/>
    </row>
    <row r="112" spans="1:9" s="6" customFormat="1" x14ac:dyDescent="0.2">
      <c r="A112" s="39" t="s">
        <v>21</v>
      </c>
      <c r="B112" s="40">
        <v>1</v>
      </c>
      <c r="C112" s="40">
        <v>1</v>
      </c>
      <c r="D112" s="40"/>
      <c r="E112" s="40">
        <v>550</v>
      </c>
      <c r="F112" s="1">
        <f t="shared" si="0"/>
        <v>0</v>
      </c>
      <c r="G112" s="1">
        <f t="shared" si="1"/>
        <v>0</v>
      </c>
      <c r="H112" s="1">
        <f t="shared" si="2"/>
        <v>550</v>
      </c>
      <c r="I112" s="40"/>
    </row>
    <row r="113" spans="1:9" s="6" customFormat="1" x14ac:dyDescent="0.2">
      <c r="A113" s="39"/>
      <c r="B113" s="40"/>
      <c r="C113" s="40"/>
      <c r="D113" s="40"/>
      <c r="E113" s="40"/>
      <c r="F113" s="1">
        <f t="shared" si="0"/>
        <v>0</v>
      </c>
      <c r="G113" s="1">
        <f t="shared" si="1"/>
        <v>0</v>
      </c>
      <c r="H113" s="1">
        <f t="shared" si="2"/>
        <v>0</v>
      </c>
      <c r="I113" s="40"/>
    </row>
    <row r="114" spans="1:9" s="6" customFormat="1" x14ac:dyDescent="0.2">
      <c r="A114" s="39" t="s">
        <v>53</v>
      </c>
      <c r="B114" s="40">
        <v>2</v>
      </c>
      <c r="C114" s="40">
        <v>2</v>
      </c>
      <c r="D114" s="40"/>
      <c r="E114" s="40">
        <v>540</v>
      </c>
      <c r="F114" s="1">
        <f t="shared" si="0"/>
        <v>0</v>
      </c>
      <c r="G114" s="1">
        <f t="shared" si="1"/>
        <v>0</v>
      </c>
      <c r="H114" s="1">
        <f t="shared" si="2"/>
        <v>1080</v>
      </c>
      <c r="I114" s="40"/>
    </row>
    <row r="115" spans="1:9" s="6" customFormat="1" x14ac:dyDescent="0.2">
      <c r="A115" s="39" t="s">
        <v>220</v>
      </c>
      <c r="B115" s="40">
        <v>2</v>
      </c>
      <c r="C115" s="40">
        <v>2</v>
      </c>
      <c r="D115" s="40"/>
      <c r="E115" s="40">
        <v>850</v>
      </c>
      <c r="F115" s="1">
        <f t="shared" si="0"/>
        <v>0</v>
      </c>
      <c r="G115" s="1">
        <f t="shared" si="1"/>
        <v>0</v>
      </c>
      <c r="H115" s="1">
        <f t="shared" si="2"/>
        <v>1700</v>
      </c>
      <c r="I115" s="40"/>
    </row>
    <row r="116" spans="1:9" s="6" customFormat="1" x14ac:dyDescent="0.2">
      <c r="A116" s="39" t="s">
        <v>89</v>
      </c>
      <c r="B116" s="40">
        <v>6</v>
      </c>
      <c r="C116" s="40">
        <v>6</v>
      </c>
      <c r="D116" s="40"/>
      <c r="E116" s="40">
        <v>570</v>
      </c>
      <c r="F116" s="1">
        <f t="shared" si="0"/>
        <v>0</v>
      </c>
      <c r="G116" s="1">
        <f t="shared" si="1"/>
        <v>0</v>
      </c>
      <c r="H116" s="1">
        <f t="shared" si="2"/>
        <v>3420</v>
      </c>
      <c r="I116" s="40"/>
    </row>
    <row r="117" spans="1:9" s="6" customFormat="1" x14ac:dyDescent="0.2">
      <c r="A117" s="39" t="s">
        <v>71</v>
      </c>
      <c r="B117" s="40">
        <v>4</v>
      </c>
      <c r="C117" s="40">
        <v>4</v>
      </c>
      <c r="D117" s="40"/>
      <c r="E117" s="40">
        <v>650</v>
      </c>
      <c r="F117" s="1">
        <f t="shared" si="0"/>
        <v>0</v>
      </c>
      <c r="G117" s="1">
        <f t="shared" si="1"/>
        <v>0</v>
      </c>
      <c r="H117" s="1">
        <f t="shared" si="2"/>
        <v>2600</v>
      </c>
      <c r="I117" s="40"/>
    </row>
    <row r="118" spans="1:9" s="6" customFormat="1" x14ac:dyDescent="0.2">
      <c r="A118" s="39" t="s">
        <v>168</v>
      </c>
      <c r="B118" s="40">
        <v>1</v>
      </c>
      <c r="C118" s="40">
        <v>1</v>
      </c>
      <c r="D118" s="40"/>
      <c r="E118" s="40">
        <v>650</v>
      </c>
      <c r="F118" s="1">
        <f t="shared" si="0"/>
        <v>0</v>
      </c>
      <c r="G118" s="1">
        <f t="shared" si="1"/>
        <v>0</v>
      </c>
      <c r="H118" s="1">
        <f t="shared" si="2"/>
        <v>650</v>
      </c>
      <c r="I118" s="40"/>
    </row>
    <row r="119" spans="1:9" s="6" customFormat="1" x14ac:dyDescent="0.2">
      <c r="A119" s="39" t="s">
        <v>50</v>
      </c>
      <c r="B119" s="40">
        <v>7</v>
      </c>
      <c r="C119" s="40">
        <v>7</v>
      </c>
      <c r="D119" s="40"/>
      <c r="E119" s="40">
        <v>650</v>
      </c>
      <c r="F119" s="1">
        <f t="shared" si="0"/>
        <v>0</v>
      </c>
      <c r="G119" s="1">
        <f t="shared" si="1"/>
        <v>0</v>
      </c>
      <c r="H119" s="1">
        <f t="shared" si="2"/>
        <v>4550</v>
      </c>
      <c r="I119" s="40"/>
    </row>
    <row r="120" spans="1:9" s="6" customFormat="1" x14ac:dyDescent="0.2">
      <c r="A120" s="39" t="s">
        <v>63</v>
      </c>
      <c r="B120" s="40">
        <v>2</v>
      </c>
      <c r="C120" s="40">
        <v>2</v>
      </c>
      <c r="D120" s="40"/>
      <c r="E120" s="40">
        <v>620</v>
      </c>
      <c r="F120" s="1">
        <f t="shared" si="0"/>
        <v>0</v>
      </c>
      <c r="G120" s="1">
        <f t="shared" si="1"/>
        <v>0</v>
      </c>
      <c r="H120" s="1">
        <f t="shared" si="2"/>
        <v>1240</v>
      </c>
      <c r="I120" s="40"/>
    </row>
    <row r="121" spans="1:9" s="6" customFormat="1" x14ac:dyDescent="0.2">
      <c r="A121" s="39" t="s">
        <v>67</v>
      </c>
      <c r="B121" s="40">
        <v>6</v>
      </c>
      <c r="C121" s="40">
        <v>6</v>
      </c>
      <c r="D121" s="40"/>
      <c r="E121" s="40">
        <v>580</v>
      </c>
      <c r="F121" s="1">
        <f t="shared" si="0"/>
        <v>0</v>
      </c>
      <c r="G121" s="1">
        <f t="shared" si="1"/>
        <v>0</v>
      </c>
      <c r="H121" s="1">
        <f t="shared" si="2"/>
        <v>3480</v>
      </c>
      <c r="I121" s="40"/>
    </row>
    <row r="122" spans="1:9" s="6" customFormat="1" x14ac:dyDescent="0.2">
      <c r="A122" s="39" t="s">
        <v>90</v>
      </c>
      <c r="B122" s="40">
        <v>6</v>
      </c>
      <c r="C122" s="40">
        <v>6</v>
      </c>
      <c r="D122" s="40"/>
      <c r="E122" s="40">
        <v>650</v>
      </c>
      <c r="F122" s="1">
        <f t="shared" si="0"/>
        <v>0</v>
      </c>
      <c r="G122" s="1">
        <f t="shared" si="1"/>
        <v>0</v>
      </c>
      <c r="H122" s="1">
        <f t="shared" si="2"/>
        <v>3900</v>
      </c>
      <c r="I122" s="40"/>
    </row>
    <row r="123" spans="1:9" s="6" customFormat="1" x14ac:dyDescent="0.2">
      <c r="A123" s="39" t="s">
        <v>88</v>
      </c>
      <c r="B123" s="40">
        <v>0</v>
      </c>
      <c r="C123" s="40">
        <v>0</v>
      </c>
      <c r="D123" s="40"/>
      <c r="E123" s="40">
        <v>750</v>
      </c>
      <c r="F123" s="1">
        <f t="shared" si="0"/>
        <v>0</v>
      </c>
      <c r="G123" s="1">
        <f t="shared" si="1"/>
        <v>0</v>
      </c>
      <c r="H123" s="1">
        <f t="shared" si="2"/>
        <v>0</v>
      </c>
      <c r="I123" s="40"/>
    </row>
    <row r="124" spans="1:9" s="6" customFormat="1" x14ac:dyDescent="0.2">
      <c r="A124" s="39" t="s">
        <v>83</v>
      </c>
      <c r="B124" s="40">
        <v>0</v>
      </c>
      <c r="C124" s="40">
        <v>0</v>
      </c>
      <c r="D124" s="40"/>
      <c r="E124" s="40">
        <v>550</v>
      </c>
      <c r="F124" s="1">
        <f t="shared" si="0"/>
        <v>0</v>
      </c>
      <c r="G124" s="1">
        <f t="shared" si="1"/>
        <v>0</v>
      </c>
      <c r="H124" s="1">
        <f t="shared" si="2"/>
        <v>0</v>
      </c>
      <c r="I124" s="40"/>
    </row>
    <row r="125" spans="1:9" s="6" customFormat="1" x14ac:dyDescent="0.2">
      <c r="A125" s="39" t="s">
        <v>87</v>
      </c>
      <c r="B125" s="40">
        <v>0</v>
      </c>
      <c r="C125" s="40">
        <v>0</v>
      </c>
      <c r="D125" s="40"/>
      <c r="E125" s="40">
        <v>720</v>
      </c>
      <c r="F125" s="1">
        <f t="shared" si="0"/>
        <v>0</v>
      </c>
      <c r="G125" s="1">
        <f t="shared" si="1"/>
        <v>0</v>
      </c>
      <c r="H125" s="1">
        <f t="shared" si="2"/>
        <v>0</v>
      </c>
      <c r="I125" s="40"/>
    </row>
    <row r="126" spans="1:9" s="6" customFormat="1" x14ac:dyDescent="0.2">
      <c r="A126" s="39" t="s">
        <v>105</v>
      </c>
      <c r="B126" s="40">
        <v>4</v>
      </c>
      <c r="C126" s="40">
        <v>4</v>
      </c>
      <c r="D126" s="40"/>
      <c r="E126" s="40">
        <v>1130</v>
      </c>
      <c r="F126" s="1">
        <f t="shared" si="0"/>
        <v>0</v>
      </c>
      <c r="G126" s="1">
        <f t="shared" si="1"/>
        <v>0</v>
      </c>
      <c r="H126" s="1">
        <f t="shared" si="2"/>
        <v>4520</v>
      </c>
      <c r="I126" s="40"/>
    </row>
    <row r="127" spans="1:9" s="6" customFormat="1" x14ac:dyDescent="0.2">
      <c r="A127" s="39" t="s">
        <v>70</v>
      </c>
      <c r="B127" s="40">
        <v>6</v>
      </c>
      <c r="C127" s="40">
        <v>6</v>
      </c>
      <c r="D127" s="40"/>
      <c r="E127" s="40">
        <v>650</v>
      </c>
      <c r="F127" s="1">
        <f t="shared" si="0"/>
        <v>0</v>
      </c>
      <c r="G127" s="1">
        <f t="shared" si="1"/>
        <v>0</v>
      </c>
      <c r="H127" s="1">
        <f t="shared" si="2"/>
        <v>3900</v>
      </c>
      <c r="I127" s="40"/>
    </row>
    <row r="128" spans="1:9" s="6" customFormat="1" x14ac:dyDescent="0.2">
      <c r="A128" s="39" t="s">
        <v>69</v>
      </c>
      <c r="B128" s="40">
        <v>7</v>
      </c>
      <c r="C128" s="40">
        <v>7</v>
      </c>
      <c r="D128" s="40"/>
      <c r="E128" s="40">
        <v>400</v>
      </c>
      <c r="F128" s="1">
        <f t="shared" si="0"/>
        <v>0</v>
      </c>
      <c r="G128" s="1">
        <f t="shared" si="1"/>
        <v>0</v>
      </c>
      <c r="H128" s="1">
        <f t="shared" si="2"/>
        <v>2800</v>
      </c>
      <c r="I128" s="40"/>
    </row>
    <row r="129" spans="1:9" s="6" customFormat="1" x14ac:dyDescent="0.2">
      <c r="A129" s="39" t="s">
        <v>54</v>
      </c>
      <c r="B129" s="40">
        <v>5</v>
      </c>
      <c r="C129" s="40">
        <v>5</v>
      </c>
      <c r="D129" s="40"/>
      <c r="E129" s="40">
        <v>620</v>
      </c>
      <c r="F129" s="1">
        <f t="shared" si="0"/>
        <v>0</v>
      </c>
      <c r="G129" s="1">
        <f t="shared" si="1"/>
        <v>0</v>
      </c>
      <c r="H129" s="1">
        <f t="shared" si="2"/>
        <v>3100</v>
      </c>
      <c r="I129" s="40"/>
    </row>
    <row r="130" spans="1:9" s="6" customFormat="1" x14ac:dyDescent="0.2">
      <c r="A130" s="39" t="s">
        <v>73</v>
      </c>
      <c r="B130" s="40">
        <v>13</v>
      </c>
      <c r="C130" s="40">
        <v>13</v>
      </c>
      <c r="D130" s="40"/>
      <c r="E130" s="40">
        <v>650</v>
      </c>
      <c r="F130" s="1">
        <f t="shared" si="0"/>
        <v>0</v>
      </c>
      <c r="G130" s="1">
        <f t="shared" si="1"/>
        <v>0</v>
      </c>
      <c r="H130" s="1">
        <f t="shared" si="2"/>
        <v>8450</v>
      </c>
      <c r="I130" s="40"/>
    </row>
    <row r="131" spans="1:9" s="6" customFormat="1" x14ac:dyDescent="0.2">
      <c r="A131" s="39" t="s">
        <v>74</v>
      </c>
      <c r="B131" s="40">
        <v>9</v>
      </c>
      <c r="C131" s="40">
        <v>9</v>
      </c>
      <c r="D131" s="40"/>
      <c r="E131" s="40">
        <v>590</v>
      </c>
      <c r="F131" s="1">
        <f t="shared" si="0"/>
        <v>0</v>
      </c>
      <c r="G131" s="1">
        <f t="shared" si="1"/>
        <v>0</v>
      </c>
      <c r="H131" s="1">
        <f t="shared" si="2"/>
        <v>5310</v>
      </c>
      <c r="I131" s="40"/>
    </row>
    <row r="132" spans="1:9" s="6" customFormat="1" x14ac:dyDescent="0.2">
      <c r="A132" s="39" t="s">
        <v>80</v>
      </c>
      <c r="B132" s="40">
        <v>5</v>
      </c>
      <c r="C132" s="40">
        <v>5</v>
      </c>
      <c r="D132" s="40"/>
      <c r="E132" s="40">
        <v>590</v>
      </c>
      <c r="F132" s="1">
        <f t="shared" si="0"/>
        <v>0</v>
      </c>
      <c r="G132" s="1">
        <f t="shared" si="1"/>
        <v>0</v>
      </c>
      <c r="H132" s="1">
        <f t="shared" si="2"/>
        <v>2950</v>
      </c>
      <c r="I132" s="40"/>
    </row>
    <row r="133" spans="1:9" s="6" customFormat="1" x14ac:dyDescent="0.2">
      <c r="A133" s="39" t="s">
        <v>68</v>
      </c>
      <c r="B133" s="40">
        <v>7</v>
      </c>
      <c r="C133" s="40">
        <v>7</v>
      </c>
      <c r="D133" s="40"/>
      <c r="E133" s="40">
        <v>890</v>
      </c>
      <c r="F133" s="1">
        <f t="shared" si="0"/>
        <v>0</v>
      </c>
      <c r="G133" s="1">
        <f t="shared" si="1"/>
        <v>0</v>
      </c>
      <c r="H133" s="1">
        <f t="shared" si="2"/>
        <v>6230</v>
      </c>
      <c r="I133" s="40"/>
    </row>
    <row r="134" spans="1:9" s="6" customFormat="1" x14ac:dyDescent="0.2">
      <c r="A134" s="39" t="s">
        <v>94</v>
      </c>
      <c r="B134" s="40">
        <v>15</v>
      </c>
      <c r="C134" s="40">
        <v>15</v>
      </c>
      <c r="D134" s="40"/>
      <c r="E134" s="40">
        <v>790</v>
      </c>
      <c r="F134" s="1">
        <f t="shared" si="0"/>
        <v>0</v>
      </c>
      <c r="G134" s="1">
        <f t="shared" si="1"/>
        <v>0</v>
      </c>
      <c r="H134" s="1">
        <f t="shared" si="2"/>
        <v>11850</v>
      </c>
      <c r="I134" s="40"/>
    </row>
    <row r="135" spans="1:9" s="6" customFormat="1" x14ac:dyDescent="0.2">
      <c r="A135" s="39" t="s">
        <v>86</v>
      </c>
      <c r="B135" s="40">
        <v>9</v>
      </c>
      <c r="C135" s="40">
        <v>8</v>
      </c>
      <c r="D135" s="40"/>
      <c r="E135" s="40">
        <v>620</v>
      </c>
      <c r="F135" s="1">
        <f t="shared" si="0"/>
        <v>1</v>
      </c>
      <c r="G135" s="1">
        <f t="shared" si="1"/>
        <v>620</v>
      </c>
      <c r="H135" s="1">
        <f t="shared" si="2"/>
        <v>4960</v>
      </c>
      <c r="I135" s="40"/>
    </row>
    <row r="136" spans="1:9" s="6" customFormat="1" x14ac:dyDescent="0.2">
      <c r="A136" s="39" t="s">
        <v>78</v>
      </c>
      <c r="B136" s="40">
        <v>8</v>
      </c>
      <c r="C136" s="40">
        <v>8</v>
      </c>
      <c r="D136" s="40"/>
      <c r="E136" s="40">
        <v>750</v>
      </c>
      <c r="F136" s="1">
        <f t="shared" si="0"/>
        <v>0</v>
      </c>
      <c r="G136" s="1">
        <f t="shared" si="1"/>
        <v>0</v>
      </c>
      <c r="H136" s="1">
        <f t="shared" si="2"/>
        <v>6000</v>
      </c>
      <c r="I136" s="40"/>
    </row>
    <row r="137" spans="1:9" s="6" customFormat="1" x14ac:dyDescent="0.2">
      <c r="A137" s="39" t="s">
        <v>96</v>
      </c>
      <c r="B137" s="40">
        <v>3</v>
      </c>
      <c r="C137" s="40">
        <v>3</v>
      </c>
      <c r="D137" s="40"/>
      <c r="E137" s="40">
        <v>590</v>
      </c>
      <c r="F137" s="1">
        <f t="shared" si="0"/>
        <v>0</v>
      </c>
      <c r="G137" s="1">
        <f t="shared" si="1"/>
        <v>0</v>
      </c>
      <c r="H137" s="1">
        <f t="shared" si="2"/>
        <v>1770</v>
      </c>
      <c r="I137" s="40"/>
    </row>
    <row r="138" spans="1:9" s="6" customFormat="1" x14ac:dyDescent="0.2">
      <c r="A138" s="39" t="s">
        <v>81</v>
      </c>
      <c r="B138" s="40">
        <v>3</v>
      </c>
      <c r="C138" s="40">
        <v>3</v>
      </c>
      <c r="D138" s="40"/>
      <c r="E138" s="40">
        <v>540</v>
      </c>
      <c r="F138" s="1">
        <f t="shared" si="0"/>
        <v>0</v>
      </c>
      <c r="G138" s="1">
        <f t="shared" si="1"/>
        <v>0</v>
      </c>
      <c r="H138" s="1">
        <f t="shared" si="2"/>
        <v>1620</v>
      </c>
      <c r="I138" s="40"/>
    </row>
    <row r="139" spans="1:9" s="6" customFormat="1" x14ac:dyDescent="0.2">
      <c r="A139" s="39" t="s">
        <v>120</v>
      </c>
      <c r="B139" s="40">
        <v>9</v>
      </c>
      <c r="C139" s="40">
        <v>9</v>
      </c>
      <c r="D139" s="40"/>
      <c r="E139" s="40">
        <v>720</v>
      </c>
      <c r="F139" s="1">
        <f t="shared" si="0"/>
        <v>0</v>
      </c>
      <c r="G139" s="1">
        <f t="shared" si="1"/>
        <v>0</v>
      </c>
      <c r="H139" s="1">
        <f t="shared" si="2"/>
        <v>6480</v>
      </c>
      <c r="I139" s="40"/>
    </row>
    <row r="140" spans="1:9" s="6" customFormat="1" x14ac:dyDescent="0.2">
      <c r="A140" s="39" t="s">
        <v>91</v>
      </c>
      <c r="B140" s="40">
        <v>4</v>
      </c>
      <c r="C140" s="40">
        <v>4</v>
      </c>
      <c r="D140" s="40"/>
      <c r="E140" s="40">
        <v>670</v>
      </c>
      <c r="F140" s="1">
        <f t="shared" si="0"/>
        <v>0</v>
      </c>
      <c r="G140" s="1">
        <f t="shared" si="1"/>
        <v>0</v>
      </c>
      <c r="H140" s="1">
        <f t="shared" si="2"/>
        <v>2680</v>
      </c>
      <c r="I140" s="40"/>
    </row>
    <row r="141" spans="1:9" s="6" customFormat="1" x14ac:dyDescent="0.2">
      <c r="A141" s="39" t="s">
        <v>100</v>
      </c>
      <c r="B141" s="40">
        <v>5</v>
      </c>
      <c r="C141" s="40">
        <v>5</v>
      </c>
      <c r="D141" s="40"/>
      <c r="E141" s="40">
        <v>680</v>
      </c>
      <c r="F141" s="1">
        <f t="shared" si="0"/>
        <v>0</v>
      </c>
      <c r="G141" s="1">
        <f t="shared" si="1"/>
        <v>0</v>
      </c>
      <c r="H141" s="1">
        <f t="shared" si="2"/>
        <v>3400</v>
      </c>
      <c r="I141" s="40"/>
    </row>
    <row r="142" spans="1:9" s="6" customFormat="1" x14ac:dyDescent="0.2">
      <c r="A142" s="39" t="s">
        <v>129</v>
      </c>
      <c r="B142" s="40">
        <v>1</v>
      </c>
      <c r="C142" s="40">
        <v>1</v>
      </c>
      <c r="D142" s="40"/>
      <c r="E142" s="40">
        <v>800</v>
      </c>
      <c r="F142" s="1">
        <f t="shared" si="0"/>
        <v>0</v>
      </c>
      <c r="G142" s="1">
        <f t="shared" si="1"/>
        <v>0</v>
      </c>
      <c r="H142" s="1">
        <f t="shared" si="2"/>
        <v>800</v>
      </c>
      <c r="I142" s="40"/>
    </row>
    <row r="143" spans="1:9" s="6" customFormat="1" x14ac:dyDescent="0.2">
      <c r="A143" s="39" t="s">
        <v>190</v>
      </c>
      <c r="B143" s="40">
        <v>3</v>
      </c>
      <c r="C143" s="40">
        <v>0</v>
      </c>
      <c r="D143" s="40">
        <v>3</v>
      </c>
      <c r="E143" s="40">
        <v>950</v>
      </c>
      <c r="F143" s="1">
        <f t="shared" si="0"/>
        <v>0</v>
      </c>
      <c r="G143" s="1">
        <f t="shared" si="1"/>
        <v>0</v>
      </c>
      <c r="H143" s="1">
        <f t="shared" si="2"/>
        <v>0</v>
      </c>
      <c r="I143" s="40"/>
    </row>
    <row r="144" spans="1:9" s="6" customFormat="1" x14ac:dyDescent="0.2">
      <c r="A144" s="39" t="s">
        <v>101</v>
      </c>
      <c r="B144" s="40">
        <v>17</v>
      </c>
      <c r="C144" s="40">
        <v>16</v>
      </c>
      <c r="D144" s="40"/>
      <c r="E144" s="40">
        <v>660</v>
      </c>
      <c r="F144" s="1">
        <f t="shared" si="0"/>
        <v>1</v>
      </c>
      <c r="G144" s="1">
        <f t="shared" si="1"/>
        <v>660</v>
      </c>
      <c r="H144" s="1">
        <f t="shared" si="2"/>
        <v>10560</v>
      </c>
      <c r="I144" s="40"/>
    </row>
    <row r="145" spans="1:9" s="6" customFormat="1" x14ac:dyDescent="0.2">
      <c r="A145" s="39" t="s">
        <v>102</v>
      </c>
      <c r="B145" s="40">
        <v>4</v>
      </c>
      <c r="C145" s="40">
        <v>2</v>
      </c>
      <c r="D145" s="40"/>
      <c r="E145" s="40">
        <v>680</v>
      </c>
      <c r="F145" s="1">
        <f t="shared" si="0"/>
        <v>2</v>
      </c>
      <c r="G145" s="1">
        <f t="shared" si="1"/>
        <v>1360</v>
      </c>
      <c r="H145" s="1">
        <f t="shared" si="2"/>
        <v>1360</v>
      </c>
      <c r="I145" s="40"/>
    </row>
    <row r="146" spans="1:9" s="6" customFormat="1" x14ac:dyDescent="0.2">
      <c r="A146" s="39" t="s">
        <v>180</v>
      </c>
      <c r="B146" s="40">
        <v>1</v>
      </c>
      <c r="C146" s="40">
        <v>1</v>
      </c>
      <c r="D146" s="40"/>
      <c r="E146" s="40">
        <v>750</v>
      </c>
      <c r="F146" s="1">
        <f t="shared" si="0"/>
        <v>0</v>
      </c>
      <c r="G146" s="1">
        <f t="shared" si="1"/>
        <v>0</v>
      </c>
      <c r="H146" s="1">
        <f t="shared" si="2"/>
        <v>750</v>
      </c>
      <c r="I146" s="40"/>
    </row>
    <row r="147" spans="1:9" s="6" customFormat="1" x14ac:dyDescent="0.2">
      <c r="A147" s="39" t="s">
        <v>192</v>
      </c>
      <c r="B147" s="40">
        <v>11</v>
      </c>
      <c r="C147" s="40">
        <v>7</v>
      </c>
      <c r="D147" s="40">
        <v>4</v>
      </c>
      <c r="E147" s="40">
        <v>900</v>
      </c>
      <c r="F147" s="1">
        <f t="shared" si="0"/>
        <v>0</v>
      </c>
      <c r="G147" s="1">
        <f t="shared" si="1"/>
        <v>0</v>
      </c>
      <c r="H147" s="1">
        <f t="shared" si="2"/>
        <v>6300</v>
      </c>
      <c r="I147" s="40"/>
    </row>
    <row r="148" spans="1:9" s="6" customFormat="1" x14ac:dyDescent="0.2">
      <c r="A148" s="39" t="s">
        <v>178</v>
      </c>
      <c r="B148" s="40">
        <v>1</v>
      </c>
      <c r="C148" s="40">
        <v>0</v>
      </c>
      <c r="D148" s="40"/>
      <c r="E148" s="40">
        <v>890</v>
      </c>
      <c r="F148" s="1">
        <f t="shared" si="0"/>
        <v>1</v>
      </c>
      <c r="G148" s="1">
        <f t="shared" si="1"/>
        <v>890</v>
      </c>
      <c r="H148" s="1">
        <f t="shared" si="2"/>
        <v>0</v>
      </c>
      <c r="I148" s="40"/>
    </row>
    <row r="149" spans="1:9" s="6" customFormat="1" x14ac:dyDescent="0.2">
      <c r="A149" s="39" t="s">
        <v>183</v>
      </c>
      <c r="B149" s="40">
        <v>2</v>
      </c>
      <c r="C149" s="40">
        <v>2</v>
      </c>
      <c r="D149" s="40"/>
      <c r="E149" s="40">
        <v>950</v>
      </c>
      <c r="F149" s="1">
        <f t="shared" si="0"/>
        <v>0</v>
      </c>
      <c r="G149" s="1">
        <f t="shared" si="1"/>
        <v>0</v>
      </c>
      <c r="H149" s="1">
        <f t="shared" si="2"/>
        <v>1900</v>
      </c>
      <c r="I149" s="40"/>
    </row>
    <row r="150" spans="1:9" s="6" customFormat="1" x14ac:dyDescent="0.2">
      <c r="A150" s="39" t="s">
        <v>182</v>
      </c>
      <c r="B150" s="40">
        <v>3</v>
      </c>
      <c r="C150" s="40">
        <v>3</v>
      </c>
      <c r="D150" s="40"/>
      <c r="E150" s="40">
        <v>990</v>
      </c>
      <c r="F150" s="1">
        <f t="shared" si="0"/>
        <v>0</v>
      </c>
      <c r="G150" s="1">
        <f t="shared" si="1"/>
        <v>0</v>
      </c>
      <c r="H150" s="1">
        <f t="shared" si="2"/>
        <v>2970</v>
      </c>
      <c r="I150" s="40"/>
    </row>
    <row r="151" spans="1:9" s="6" customFormat="1" x14ac:dyDescent="0.2">
      <c r="A151" s="39" t="s">
        <v>153</v>
      </c>
      <c r="B151" s="40">
        <v>4</v>
      </c>
      <c r="C151" s="40">
        <v>4</v>
      </c>
      <c r="D151" s="40"/>
      <c r="E151" s="40">
        <v>790</v>
      </c>
      <c r="F151" s="1">
        <f t="shared" si="0"/>
        <v>0</v>
      </c>
      <c r="G151" s="1">
        <f t="shared" si="1"/>
        <v>0</v>
      </c>
      <c r="H151" s="1">
        <f t="shared" si="2"/>
        <v>3160</v>
      </c>
      <c r="I151" s="40"/>
    </row>
    <row r="152" spans="1:9" s="6" customFormat="1" x14ac:dyDescent="0.2">
      <c r="A152" s="39" t="s">
        <v>204</v>
      </c>
      <c r="B152" s="40">
        <v>5</v>
      </c>
      <c r="C152" s="40">
        <v>5</v>
      </c>
      <c r="D152" s="40"/>
      <c r="E152" s="40">
        <v>1150</v>
      </c>
      <c r="F152" s="1">
        <f t="shared" si="0"/>
        <v>0</v>
      </c>
      <c r="G152" s="1">
        <f t="shared" si="1"/>
        <v>0</v>
      </c>
      <c r="H152" s="1">
        <f t="shared" si="2"/>
        <v>5750</v>
      </c>
      <c r="I152" s="40"/>
    </row>
    <row r="153" spans="1:9" s="6" customFormat="1" x14ac:dyDescent="0.2">
      <c r="A153" s="39" t="s">
        <v>221</v>
      </c>
      <c r="B153" s="40">
        <v>6</v>
      </c>
      <c r="C153" s="40">
        <v>5</v>
      </c>
      <c r="D153" s="40"/>
      <c r="E153" s="40">
        <v>699</v>
      </c>
      <c r="F153" s="1">
        <f t="shared" si="0"/>
        <v>1</v>
      </c>
      <c r="G153" s="1">
        <f t="shared" si="1"/>
        <v>699</v>
      </c>
      <c r="H153" s="1">
        <f t="shared" si="2"/>
        <v>3495</v>
      </c>
      <c r="I153" s="40"/>
    </row>
    <row r="154" spans="1:9" s="6" customFormat="1" x14ac:dyDescent="0.2">
      <c r="A154" s="39" t="s">
        <v>228</v>
      </c>
      <c r="B154" s="40">
        <v>4</v>
      </c>
      <c r="C154" s="40">
        <v>4</v>
      </c>
      <c r="D154" s="40"/>
      <c r="E154" s="40">
        <v>740</v>
      </c>
      <c r="F154" s="1">
        <f t="shared" si="0"/>
        <v>0</v>
      </c>
      <c r="G154" s="1">
        <f t="shared" si="1"/>
        <v>0</v>
      </c>
      <c r="H154" s="1">
        <f t="shared" si="2"/>
        <v>2960</v>
      </c>
      <c r="I154" s="40"/>
    </row>
    <row r="155" spans="1:9" s="6" customFormat="1" x14ac:dyDescent="0.2">
      <c r="A155" s="39" t="s">
        <v>222</v>
      </c>
      <c r="B155" s="40">
        <v>6</v>
      </c>
      <c r="C155" s="40">
        <v>6</v>
      </c>
      <c r="D155" s="40"/>
      <c r="E155" s="40">
        <v>850</v>
      </c>
      <c r="F155" s="1">
        <f t="shared" si="0"/>
        <v>0</v>
      </c>
      <c r="G155" s="1">
        <f t="shared" si="1"/>
        <v>0</v>
      </c>
      <c r="H155" s="1">
        <f t="shared" si="2"/>
        <v>5100</v>
      </c>
      <c r="I155" s="40"/>
    </row>
    <row r="156" spans="1:9" s="6" customFormat="1" x14ac:dyDescent="0.2">
      <c r="A156" s="39" t="s">
        <v>128</v>
      </c>
      <c r="B156" s="40">
        <v>5</v>
      </c>
      <c r="C156" s="40">
        <v>5</v>
      </c>
      <c r="D156" s="40"/>
      <c r="E156" s="40">
        <v>850</v>
      </c>
      <c r="F156" s="1">
        <f t="shared" si="0"/>
        <v>0</v>
      </c>
      <c r="G156" s="1">
        <f t="shared" si="1"/>
        <v>0</v>
      </c>
      <c r="H156" s="1">
        <f t="shared" si="2"/>
        <v>4250</v>
      </c>
      <c r="I156" s="40"/>
    </row>
    <row r="157" spans="1:9" s="6" customFormat="1" x14ac:dyDescent="0.2">
      <c r="A157" s="39" t="s">
        <v>202</v>
      </c>
      <c r="B157" s="40">
        <v>4</v>
      </c>
      <c r="C157" s="40">
        <v>4</v>
      </c>
      <c r="D157" s="40"/>
      <c r="E157" s="40">
        <v>1499</v>
      </c>
      <c r="F157" s="1">
        <f t="shared" si="0"/>
        <v>0</v>
      </c>
      <c r="G157" s="1">
        <f t="shared" si="1"/>
        <v>0</v>
      </c>
      <c r="H157" s="1">
        <f t="shared" si="2"/>
        <v>5996</v>
      </c>
      <c r="I157" s="40"/>
    </row>
    <row r="158" spans="1:9" s="6" customFormat="1" x14ac:dyDescent="0.2">
      <c r="A158" s="39" t="s">
        <v>145</v>
      </c>
      <c r="B158" s="40">
        <v>4</v>
      </c>
      <c r="C158" s="40">
        <v>4</v>
      </c>
      <c r="D158" s="40"/>
      <c r="E158" s="40">
        <v>720</v>
      </c>
      <c r="F158" s="1">
        <f t="shared" si="0"/>
        <v>0</v>
      </c>
      <c r="G158" s="1">
        <f t="shared" si="1"/>
        <v>0</v>
      </c>
      <c r="H158" s="1">
        <f t="shared" si="2"/>
        <v>2880</v>
      </c>
      <c r="I158" s="40"/>
    </row>
    <row r="159" spans="1:9" s="6" customFormat="1" x14ac:dyDescent="0.2">
      <c r="A159" s="39" t="s">
        <v>150</v>
      </c>
      <c r="B159" s="40">
        <v>1</v>
      </c>
      <c r="C159" s="40">
        <v>1</v>
      </c>
      <c r="D159" s="40"/>
      <c r="E159" s="40">
        <v>900</v>
      </c>
      <c r="F159" s="1">
        <f t="shared" si="0"/>
        <v>0</v>
      </c>
      <c r="G159" s="1">
        <f t="shared" si="1"/>
        <v>0</v>
      </c>
      <c r="H159" s="1">
        <f t="shared" si="2"/>
        <v>900</v>
      </c>
      <c r="I159" s="40"/>
    </row>
    <row r="160" spans="1:9" s="6" customFormat="1" x14ac:dyDescent="0.2">
      <c r="A160" s="39" t="s">
        <v>154</v>
      </c>
      <c r="B160" s="40">
        <v>3</v>
      </c>
      <c r="C160" s="40">
        <v>3</v>
      </c>
      <c r="D160" s="40"/>
      <c r="E160" s="40">
        <v>720</v>
      </c>
      <c r="F160" s="1">
        <f t="shared" si="0"/>
        <v>0</v>
      </c>
      <c r="G160" s="1">
        <f t="shared" si="1"/>
        <v>0</v>
      </c>
      <c r="H160" s="1">
        <f t="shared" si="2"/>
        <v>2160</v>
      </c>
      <c r="I160" s="40"/>
    </row>
    <row r="161" spans="1:9" s="6" customFormat="1" x14ac:dyDescent="0.2">
      <c r="A161" s="39" t="s">
        <v>152</v>
      </c>
      <c r="B161" s="40">
        <v>4</v>
      </c>
      <c r="C161" s="40">
        <v>4</v>
      </c>
      <c r="D161" s="40"/>
      <c r="E161" s="40">
        <v>1180</v>
      </c>
      <c r="F161" s="1">
        <f t="shared" si="0"/>
        <v>0</v>
      </c>
      <c r="G161" s="1">
        <f t="shared" si="1"/>
        <v>0</v>
      </c>
      <c r="H161" s="1">
        <f t="shared" si="2"/>
        <v>4720</v>
      </c>
      <c r="I161" s="40"/>
    </row>
    <row r="162" spans="1:9" s="6" customFormat="1" x14ac:dyDescent="0.2">
      <c r="A162" s="39" t="s">
        <v>146</v>
      </c>
      <c r="B162" s="40">
        <v>4</v>
      </c>
      <c r="C162" s="40">
        <v>4</v>
      </c>
      <c r="D162" s="40"/>
      <c r="E162" s="40">
        <v>1300</v>
      </c>
      <c r="F162" s="1">
        <f t="shared" si="0"/>
        <v>0</v>
      </c>
      <c r="G162" s="1">
        <f t="shared" si="1"/>
        <v>0</v>
      </c>
      <c r="H162" s="1">
        <f t="shared" si="2"/>
        <v>5200</v>
      </c>
      <c r="I162" s="40"/>
    </row>
    <row r="163" spans="1:9" s="6" customFormat="1" x14ac:dyDescent="0.2">
      <c r="A163" s="39" t="s">
        <v>149</v>
      </c>
      <c r="B163" s="40">
        <v>9</v>
      </c>
      <c r="C163" s="40">
        <v>9</v>
      </c>
      <c r="D163" s="40"/>
      <c r="E163" s="40">
        <v>900</v>
      </c>
      <c r="F163" s="1">
        <f t="shared" si="0"/>
        <v>0</v>
      </c>
      <c r="G163" s="1">
        <f t="shared" si="1"/>
        <v>0</v>
      </c>
      <c r="H163" s="1">
        <f t="shared" si="2"/>
        <v>8100</v>
      </c>
      <c r="I163" s="40"/>
    </row>
    <row r="164" spans="1:9" s="6" customFormat="1" x14ac:dyDescent="0.2">
      <c r="A164" s="39" t="s">
        <v>158</v>
      </c>
      <c r="B164" s="40">
        <v>4</v>
      </c>
      <c r="C164" s="40">
        <v>4</v>
      </c>
      <c r="D164" s="40"/>
      <c r="E164" s="40">
        <v>960</v>
      </c>
      <c r="F164" s="1">
        <f t="shared" si="0"/>
        <v>0</v>
      </c>
      <c r="G164" s="1">
        <f t="shared" si="1"/>
        <v>0</v>
      </c>
      <c r="H164" s="1">
        <f t="shared" si="2"/>
        <v>3840</v>
      </c>
      <c r="I164" s="40"/>
    </row>
    <row r="165" spans="1:9" s="6" customFormat="1" x14ac:dyDescent="0.2">
      <c r="A165" s="39" t="s">
        <v>144</v>
      </c>
      <c r="B165" s="40">
        <v>2</v>
      </c>
      <c r="C165" s="40">
        <v>2</v>
      </c>
      <c r="D165" s="40"/>
      <c r="E165" s="40">
        <v>980</v>
      </c>
      <c r="F165" s="1">
        <f t="shared" si="0"/>
        <v>0</v>
      </c>
      <c r="G165" s="1">
        <f t="shared" si="1"/>
        <v>0</v>
      </c>
      <c r="H165" s="1">
        <f t="shared" si="2"/>
        <v>1960</v>
      </c>
      <c r="I165" s="40"/>
    </row>
    <row r="166" spans="1:9" s="6" customFormat="1" x14ac:dyDescent="0.2">
      <c r="A166" s="39" t="s">
        <v>191</v>
      </c>
      <c r="B166" s="40">
        <v>3</v>
      </c>
      <c r="C166" s="40">
        <v>3</v>
      </c>
      <c r="D166" s="40"/>
      <c r="E166" s="40">
        <v>750</v>
      </c>
      <c r="F166" s="1">
        <f t="shared" si="0"/>
        <v>0</v>
      </c>
      <c r="G166" s="1">
        <f t="shared" si="1"/>
        <v>0</v>
      </c>
      <c r="H166" s="1">
        <f t="shared" si="2"/>
        <v>2250</v>
      </c>
      <c r="I166" s="40"/>
    </row>
    <row r="167" spans="1:9" s="6" customFormat="1" x14ac:dyDescent="0.2">
      <c r="A167" s="39" t="s">
        <v>179</v>
      </c>
      <c r="B167" s="40">
        <v>7</v>
      </c>
      <c r="C167" s="40">
        <v>7</v>
      </c>
      <c r="D167" s="40"/>
      <c r="E167" s="40">
        <v>890</v>
      </c>
      <c r="F167" s="1">
        <f t="shared" si="0"/>
        <v>0</v>
      </c>
      <c r="G167" s="1">
        <f t="shared" si="1"/>
        <v>0</v>
      </c>
      <c r="H167" s="1">
        <f t="shared" si="2"/>
        <v>6230</v>
      </c>
      <c r="I167" s="40"/>
    </row>
    <row r="168" spans="1:9" s="6" customFormat="1" x14ac:dyDescent="0.2">
      <c r="A168" s="39" t="s">
        <v>201</v>
      </c>
      <c r="B168" s="40">
        <v>3</v>
      </c>
      <c r="C168" s="40">
        <v>3</v>
      </c>
      <c r="D168" s="40"/>
      <c r="E168" s="40">
        <v>1250</v>
      </c>
      <c r="F168" s="1">
        <f t="shared" si="0"/>
        <v>0</v>
      </c>
      <c r="G168" s="1">
        <f t="shared" si="1"/>
        <v>0</v>
      </c>
      <c r="H168" s="1">
        <f t="shared" si="2"/>
        <v>3750</v>
      </c>
      <c r="I168" s="40"/>
    </row>
    <row r="169" spans="1:9" s="6" customFormat="1" x14ac:dyDescent="0.2">
      <c r="A169" s="39" t="s">
        <v>151</v>
      </c>
      <c r="B169" s="40">
        <v>2</v>
      </c>
      <c r="C169" s="40">
        <v>2</v>
      </c>
      <c r="D169" s="40"/>
      <c r="E169" s="40">
        <v>850</v>
      </c>
      <c r="F169" s="1">
        <f t="shared" si="0"/>
        <v>0</v>
      </c>
      <c r="G169" s="1">
        <f t="shared" si="1"/>
        <v>0</v>
      </c>
      <c r="H169" s="1">
        <f t="shared" si="2"/>
        <v>1700</v>
      </c>
      <c r="I169" s="40"/>
    </row>
    <row r="170" spans="1:9" s="6" customFormat="1" x14ac:dyDescent="0.2">
      <c r="A170" s="39" t="s">
        <v>189</v>
      </c>
      <c r="B170" s="40">
        <v>5</v>
      </c>
      <c r="C170" s="40">
        <v>4</v>
      </c>
      <c r="D170" s="40"/>
      <c r="E170" s="40">
        <v>750</v>
      </c>
      <c r="F170" s="1">
        <f t="shared" si="0"/>
        <v>1</v>
      </c>
      <c r="G170" s="1">
        <f t="shared" si="1"/>
        <v>750</v>
      </c>
      <c r="H170" s="1">
        <f t="shared" si="2"/>
        <v>3000</v>
      </c>
      <c r="I170" s="40"/>
    </row>
    <row r="171" spans="1:9" s="6" customFormat="1" x14ac:dyDescent="0.2">
      <c r="A171" s="39" t="s">
        <v>157</v>
      </c>
      <c r="B171" s="40">
        <v>4</v>
      </c>
      <c r="C171" s="40">
        <v>4</v>
      </c>
      <c r="D171" s="40"/>
      <c r="E171" s="40">
        <v>950</v>
      </c>
      <c r="F171" s="1">
        <f t="shared" si="0"/>
        <v>0</v>
      </c>
      <c r="G171" s="1">
        <f t="shared" si="1"/>
        <v>0</v>
      </c>
      <c r="H171" s="1">
        <f t="shared" si="2"/>
        <v>3800</v>
      </c>
      <c r="I171" s="40"/>
    </row>
    <row r="172" spans="1:9" s="6" customFormat="1" x14ac:dyDescent="0.2">
      <c r="A172" s="39" t="s">
        <v>156</v>
      </c>
      <c r="B172" s="40">
        <v>2</v>
      </c>
      <c r="C172" s="40">
        <v>2</v>
      </c>
      <c r="D172" s="40"/>
      <c r="E172" s="40">
        <v>960</v>
      </c>
      <c r="F172" s="1">
        <f t="shared" si="0"/>
        <v>0</v>
      </c>
      <c r="G172" s="1">
        <f t="shared" si="1"/>
        <v>0</v>
      </c>
      <c r="H172" s="1">
        <f t="shared" si="2"/>
        <v>1920</v>
      </c>
      <c r="I172" s="40"/>
    </row>
    <row r="173" spans="1:9" s="6" customFormat="1" x14ac:dyDescent="0.2">
      <c r="A173" s="39" t="s">
        <v>229</v>
      </c>
      <c r="B173" s="40">
        <v>4</v>
      </c>
      <c r="C173" s="40">
        <v>1</v>
      </c>
      <c r="D173" s="40"/>
      <c r="E173" s="40">
        <v>1199</v>
      </c>
      <c r="F173" s="1">
        <f t="shared" si="0"/>
        <v>3</v>
      </c>
      <c r="G173" s="1">
        <f t="shared" si="1"/>
        <v>3597</v>
      </c>
      <c r="H173" s="1">
        <f t="shared" si="2"/>
        <v>1199</v>
      </c>
      <c r="I173" s="40"/>
    </row>
    <row r="174" spans="1:9" s="6" customFormat="1" x14ac:dyDescent="0.2">
      <c r="A174" s="39" t="s">
        <v>203</v>
      </c>
      <c r="B174" s="40">
        <v>4</v>
      </c>
      <c r="C174" s="40">
        <v>4</v>
      </c>
      <c r="D174" s="40"/>
      <c r="E174" s="40">
        <v>1199</v>
      </c>
      <c r="F174" s="1">
        <f t="shared" si="0"/>
        <v>0</v>
      </c>
      <c r="G174" s="1">
        <f t="shared" si="1"/>
        <v>0</v>
      </c>
      <c r="H174" s="1">
        <f t="shared" si="2"/>
        <v>4796</v>
      </c>
      <c r="I174" s="40"/>
    </row>
    <row r="175" spans="1:9" s="6" customFormat="1" x14ac:dyDescent="0.2">
      <c r="A175" s="39" t="s">
        <v>205</v>
      </c>
      <c r="B175" s="40">
        <v>3</v>
      </c>
      <c r="C175" s="40">
        <v>3</v>
      </c>
      <c r="D175" s="40"/>
      <c r="E175" s="40">
        <v>1150</v>
      </c>
      <c r="F175" s="1">
        <f t="shared" si="0"/>
        <v>0</v>
      </c>
      <c r="G175" s="1">
        <f t="shared" si="1"/>
        <v>0</v>
      </c>
      <c r="H175" s="1">
        <f t="shared" si="2"/>
        <v>3450</v>
      </c>
      <c r="I175" s="40"/>
    </row>
    <row r="176" spans="1:9" s="6" customFormat="1" x14ac:dyDescent="0.2">
      <c r="A176" s="39" t="s">
        <v>181</v>
      </c>
      <c r="B176" s="40">
        <v>2</v>
      </c>
      <c r="C176" s="40">
        <v>2</v>
      </c>
      <c r="D176" s="40"/>
      <c r="E176" s="40">
        <v>850</v>
      </c>
      <c r="F176" s="1">
        <f t="shared" si="0"/>
        <v>0</v>
      </c>
      <c r="G176" s="1">
        <f t="shared" si="1"/>
        <v>0</v>
      </c>
      <c r="H176" s="1">
        <f t="shared" si="2"/>
        <v>1700</v>
      </c>
      <c r="I176" s="40"/>
    </row>
    <row r="177" spans="1:9" s="6" customFormat="1" x14ac:dyDescent="0.2">
      <c r="A177" s="39" t="s">
        <v>227</v>
      </c>
      <c r="B177" s="40">
        <v>1</v>
      </c>
      <c r="C177" s="40">
        <v>1</v>
      </c>
      <c r="D177" s="40"/>
      <c r="E177" s="40">
        <v>799</v>
      </c>
      <c r="F177" s="1">
        <f t="shared" si="0"/>
        <v>0</v>
      </c>
      <c r="G177" s="1">
        <f t="shared" si="1"/>
        <v>0</v>
      </c>
      <c r="H177" s="1">
        <f t="shared" si="2"/>
        <v>799</v>
      </c>
      <c r="I177" s="40"/>
    </row>
    <row r="178" spans="1:9" s="6" customFormat="1" x14ac:dyDescent="0.2">
      <c r="A178" s="39" t="s">
        <v>75</v>
      </c>
      <c r="B178" s="40">
        <v>7</v>
      </c>
      <c r="C178" s="40">
        <v>7</v>
      </c>
      <c r="D178" s="40"/>
      <c r="E178" s="40">
        <v>550</v>
      </c>
      <c r="F178" s="1">
        <f t="shared" si="0"/>
        <v>0</v>
      </c>
      <c r="G178" s="1">
        <f t="shared" si="1"/>
        <v>0</v>
      </c>
      <c r="H178" s="1">
        <f t="shared" si="2"/>
        <v>3850</v>
      </c>
      <c r="I178" s="40"/>
    </row>
    <row r="179" spans="1:9" s="6" customFormat="1" x14ac:dyDescent="0.2">
      <c r="A179" s="39" t="s">
        <v>92</v>
      </c>
      <c r="B179" s="40">
        <v>5</v>
      </c>
      <c r="C179" s="40">
        <v>5</v>
      </c>
      <c r="D179" s="40"/>
      <c r="E179" s="40">
        <v>550</v>
      </c>
      <c r="F179" s="1">
        <f t="shared" si="0"/>
        <v>0</v>
      </c>
      <c r="G179" s="1">
        <f t="shared" si="1"/>
        <v>0</v>
      </c>
      <c r="H179" s="1">
        <f t="shared" si="2"/>
        <v>2750</v>
      </c>
      <c r="I179" s="40"/>
    </row>
    <row r="180" spans="1:9" s="6" customFormat="1" x14ac:dyDescent="0.2">
      <c r="A180" s="39" t="s">
        <v>214</v>
      </c>
      <c r="B180" s="40">
        <v>4</v>
      </c>
      <c r="C180" s="40">
        <v>4</v>
      </c>
      <c r="D180" s="40"/>
      <c r="E180" s="40">
        <v>800</v>
      </c>
      <c r="F180" s="1">
        <f t="shared" si="0"/>
        <v>0</v>
      </c>
      <c r="G180" s="1">
        <f t="shared" si="1"/>
        <v>0</v>
      </c>
      <c r="H180" s="1">
        <f t="shared" si="2"/>
        <v>3200</v>
      </c>
      <c r="I180" s="40"/>
    </row>
    <row r="181" spans="1:9" s="6" customFormat="1" x14ac:dyDescent="0.2">
      <c r="A181" s="39" t="s">
        <v>213</v>
      </c>
      <c r="B181" s="40">
        <v>3</v>
      </c>
      <c r="C181" s="40">
        <v>3</v>
      </c>
      <c r="D181" s="40"/>
      <c r="E181" s="40">
        <v>700</v>
      </c>
      <c r="F181" s="1">
        <f t="shared" si="0"/>
        <v>0</v>
      </c>
      <c r="G181" s="1">
        <f t="shared" si="1"/>
        <v>0</v>
      </c>
      <c r="H181" s="1">
        <f t="shared" si="2"/>
        <v>2100</v>
      </c>
      <c r="I181" s="40"/>
    </row>
    <row r="182" spans="1:9" s="6" customFormat="1" x14ac:dyDescent="0.2">
      <c r="A182" s="39" t="s">
        <v>215</v>
      </c>
      <c r="B182" s="40">
        <v>4</v>
      </c>
      <c r="C182" s="40">
        <v>4</v>
      </c>
      <c r="D182" s="40"/>
      <c r="E182" s="40">
        <v>970</v>
      </c>
      <c r="F182" s="1">
        <f t="shared" si="0"/>
        <v>0</v>
      </c>
      <c r="G182" s="1">
        <f t="shared" si="1"/>
        <v>0</v>
      </c>
      <c r="H182" s="1">
        <f t="shared" si="2"/>
        <v>3880</v>
      </c>
      <c r="I182" s="40"/>
    </row>
    <row r="183" spans="1:9" s="6" customFormat="1" x14ac:dyDescent="0.2">
      <c r="A183" s="39" t="s">
        <v>212</v>
      </c>
      <c r="B183" s="40">
        <v>4</v>
      </c>
      <c r="C183" s="40">
        <v>4</v>
      </c>
      <c r="D183" s="40"/>
      <c r="E183" s="40">
        <v>860</v>
      </c>
      <c r="F183" s="1">
        <f t="shared" si="0"/>
        <v>0</v>
      </c>
      <c r="G183" s="1">
        <f t="shared" si="1"/>
        <v>0</v>
      </c>
      <c r="H183" s="1">
        <f t="shared" si="2"/>
        <v>3440</v>
      </c>
      <c r="I183" s="40"/>
    </row>
    <row r="184" spans="1:9" s="6" customFormat="1" x14ac:dyDescent="0.2">
      <c r="A184" s="39"/>
      <c r="B184" s="40"/>
      <c r="C184" s="40"/>
      <c r="D184" s="40"/>
      <c r="E184" s="40"/>
      <c r="F184" s="1"/>
      <c r="G184" s="1"/>
      <c r="H184" s="1"/>
      <c r="I184" s="40"/>
    </row>
    <row r="185" spans="1:9" s="6" customFormat="1" x14ac:dyDescent="0.2">
      <c r="A185" s="39" t="s">
        <v>112</v>
      </c>
      <c r="B185" s="40">
        <v>9</v>
      </c>
      <c r="C185" s="40">
        <v>6</v>
      </c>
      <c r="D185" s="40"/>
      <c r="E185" s="40">
        <v>500</v>
      </c>
      <c r="F185" s="1">
        <f t="shared" si="0"/>
        <v>3</v>
      </c>
      <c r="G185" s="1">
        <f t="shared" si="1"/>
        <v>1500</v>
      </c>
      <c r="H185" s="1">
        <f t="shared" si="2"/>
        <v>3000</v>
      </c>
      <c r="I185" s="40"/>
    </row>
    <row r="186" spans="1:9" s="6" customFormat="1" x14ac:dyDescent="0.2">
      <c r="A186" s="39" t="s">
        <v>163</v>
      </c>
      <c r="B186" s="40">
        <v>3</v>
      </c>
      <c r="C186" s="40">
        <v>3</v>
      </c>
      <c r="D186" s="40"/>
      <c r="E186" s="40">
        <v>600</v>
      </c>
      <c r="F186" s="1">
        <f t="shared" si="0"/>
        <v>0</v>
      </c>
      <c r="G186" s="1">
        <f t="shared" si="1"/>
        <v>0</v>
      </c>
      <c r="H186" s="1">
        <f t="shared" si="2"/>
        <v>1800</v>
      </c>
      <c r="I186" s="40"/>
    </row>
    <row r="187" spans="1:9" s="6" customFormat="1" x14ac:dyDescent="0.2">
      <c r="A187" s="39" t="s">
        <v>111</v>
      </c>
      <c r="B187" s="40">
        <v>4</v>
      </c>
      <c r="C187" s="40">
        <v>4</v>
      </c>
      <c r="D187" s="40"/>
      <c r="E187" s="40">
        <v>600</v>
      </c>
      <c r="F187" s="1">
        <f t="shared" si="0"/>
        <v>0</v>
      </c>
      <c r="G187" s="1">
        <f t="shared" si="1"/>
        <v>0</v>
      </c>
      <c r="H187" s="1">
        <f t="shared" si="2"/>
        <v>2400</v>
      </c>
      <c r="I187" s="40"/>
    </row>
    <row r="188" spans="1:9" s="6" customFormat="1" x14ac:dyDescent="0.2">
      <c r="A188" s="39" t="s">
        <v>116</v>
      </c>
      <c r="B188" s="40">
        <v>1</v>
      </c>
      <c r="C188" s="40">
        <v>0</v>
      </c>
      <c r="D188" s="40"/>
      <c r="E188" s="40">
        <v>560</v>
      </c>
      <c r="F188" s="1">
        <f t="shared" si="0"/>
        <v>1</v>
      </c>
      <c r="G188" s="1">
        <f t="shared" si="1"/>
        <v>560</v>
      </c>
      <c r="H188" s="1">
        <f t="shared" si="2"/>
        <v>0</v>
      </c>
      <c r="I188" s="40"/>
    </row>
    <row r="189" spans="1:9" s="6" customFormat="1" x14ac:dyDescent="0.2">
      <c r="A189" s="39" t="s">
        <v>110</v>
      </c>
      <c r="B189" s="40">
        <v>7</v>
      </c>
      <c r="C189" s="40">
        <v>4</v>
      </c>
      <c r="D189" s="40"/>
      <c r="E189" s="40">
        <v>600</v>
      </c>
      <c r="F189" s="1">
        <f t="shared" si="0"/>
        <v>3</v>
      </c>
      <c r="G189" s="1">
        <f t="shared" si="1"/>
        <v>1800</v>
      </c>
      <c r="H189" s="1">
        <f t="shared" si="2"/>
        <v>2400</v>
      </c>
      <c r="I189" s="40"/>
    </row>
    <row r="190" spans="1:9" s="6" customFormat="1" x14ac:dyDescent="0.2">
      <c r="A190" s="39" t="s">
        <v>113</v>
      </c>
      <c r="B190" s="40">
        <v>2</v>
      </c>
      <c r="C190" s="40">
        <v>2</v>
      </c>
      <c r="D190" s="40"/>
      <c r="E190" s="40">
        <v>500</v>
      </c>
      <c r="F190" s="1">
        <f t="shared" si="0"/>
        <v>0</v>
      </c>
      <c r="G190" s="1">
        <f t="shared" si="1"/>
        <v>0</v>
      </c>
      <c r="H190" s="1">
        <f t="shared" si="2"/>
        <v>1000</v>
      </c>
      <c r="I190" s="40"/>
    </row>
    <row r="191" spans="1:9" s="6" customFormat="1" x14ac:dyDescent="0.2">
      <c r="A191" s="39" t="s">
        <v>124</v>
      </c>
      <c r="B191" s="40">
        <v>8</v>
      </c>
      <c r="C191" s="40">
        <v>7</v>
      </c>
      <c r="D191" s="40"/>
      <c r="E191" s="40">
        <v>600</v>
      </c>
      <c r="F191" s="1">
        <f t="shared" si="0"/>
        <v>1</v>
      </c>
      <c r="G191" s="1">
        <f t="shared" si="1"/>
        <v>600</v>
      </c>
      <c r="H191" s="1">
        <f t="shared" si="2"/>
        <v>4200</v>
      </c>
      <c r="I191" s="40"/>
    </row>
    <row r="192" spans="1:9" s="6" customFormat="1" x14ac:dyDescent="0.2">
      <c r="A192" s="39" t="s">
        <v>134</v>
      </c>
      <c r="B192" s="40">
        <v>5</v>
      </c>
      <c r="C192" s="40">
        <v>5</v>
      </c>
      <c r="D192" s="40"/>
      <c r="E192" s="40">
        <v>600</v>
      </c>
      <c r="F192" s="1">
        <f t="shared" si="0"/>
        <v>0</v>
      </c>
      <c r="G192" s="1">
        <f t="shared" si="1"/>
        <v>0</v>
      </c>
      <c r="H192" s="1">
        <f t="shared" si="2"/>
        <v>3000</v>
      </c>
      <c r="I192" s="40"/>
    </row>
    <row r="193" spans="1:9" s="6" customFormat="1" x14ac:dyDescent="0.2">
      <c r="A193" s="39" t="s">
        <v>164</v>
      </c>
      <c r="B193" s="40">
        <v>6</v>
      </c>
      <c r="C193" s="40">
        <v>3</v>
      </c>
      <c r="D193" s="40"/>
      <c r="E193" s="40">
        <v>600</v>
      </c>
      <c r="F193" s="1">
        <f t="shared" si="0"/>
        <v>3</v>
      </c>
      <c r="G193" s="1">
        <f t="shared" si="1"/>
        <v>1800</v>
      </c>
      <c r="H193" s="1">
        <f t="shared" si="2"/>
        <v>1800</v>
      </c>
      <c r="I193" s="40"/>
    </row>
    <row r="194" spans="1:9" s="6" customFormat="1" x14ac:dyDescent="0.2">
      <c r="A194" s="39" t="s">
        <v>217</v>
      </c>
      <c r="B194" s="40">
        <v>5</v>
      </c>
      <c r="C194" s="40">
        <v>5</v>
      </c>
      <c r="D194" s="40"/>
      <c r="E194" s="40">
        <v>500</v>
      </c>
      <c r="F194" s="1">
        <f t="shared" si="0"/>
        <v>0</v>
      </c>
      <c r="G194" s="1">
        <f t="shared" si="1"/>
        <v>0</v>
      </c>
      <c r="H194" s="1">
        <f t="shared" si="2"/>
        <v>2500</v>
      </c>
      <c r="I194" s="40"/>
    </row>
    <row r="195" spans="1:9" s="6" customFormat="1" x14ac:dyDescent="0.2">
      <c r="A195" s="39" t="s">
        <v>223</v>
      </c>
      <c r="B195" s="40">
        <v>5</v>
      </c>
      <c r="C195" s="40">
        <v>4</v>
      </c>
      <c r="D195" s="40"/>
      <c r="E195" s="40">
        <v>500</v>
      </c>
      <c r="F195" s="1">
        <f t="shared" si="0"/>
        <v>1</v>
      </c>
      <c r="G195" s="1">
        <f t="shared" si="1"/>
        <v>500</v>
      </c>
      <c r="H195" s="1">
        <f t="shared" si="2"/>
        <v>2000</v>
      </c>
      <c r="I195" s="40"/>
    </row>
    <row r="196" spans="1:9" s="6" customFormat="1" x14ac:dyDescent="0.2">
      <c r="A196" s="39" t="s">
        <v>230</v>
      </c>
      <c r="B196" s="40">
        <v>6</v>
      </c>
      <c r="C196" s="40">
        <v>6</v>
      </c>
      <c r="D196" s="40"/>
      <c r="E196" s="40">
        <v>600</v>
      </c>
      <c r="F196" s="1">
        <f t="shared" si="0"/>
        <v>0</v>
      </c>
      <c r="G196" s="1">
        <f t="shared" si="1"/>
        <v>0</v>
      </c>
      <c r="H196" s="1">
        <f t="shared" si="2"/>
        <v>3600</v>
      </c>
      <c r="I196" s="40"/>
    </row>
    <row r="197" spans="1:9" s="6" customFormat="1" x14ac:dyDescent="0.2">
      <c r="A197" s="39" t="s">
        <v>233</v>
      </c>
      <c r="B197" s="40">
        <v>6</v>
      </c>
      <c r="C197" s="40">
        <v>6</v>
      </c>
      <c r="D197" s="40"/>
      <c r="E197" s="40">
        <v>600</v>
      </c>
      <c r="F197" s="1">
        <f t="shared" si="0"/>
        <v>0</v>
      </c>
      <c r="G197" s="1">
        <f t="shared" si="1"/>
        <v>0</v>
      </c>
      <c r="H197" s="1">
        <f t="shared" si="2"/>
        <v>3600</v>
      </c>
      <c r="I197" s="40"/>
    </row>
    <row r="198" spans="1:9" s="6" customFormat="1" x14ac:dyDescent="0.2">
      <c r="A198" s="39" t="s">
        <v>232</v>
      </c>
      <c r="B198" s="40"/>
      <c r="C198" s="40"/>
      <c r="D198" s="40"/>
      <c r="E198" s="40"/>
      <c r="F198" s="1">
        <f t="shared" si="0"/>
        <v>0</v>
      </c>
      <c r="G198" s="1">
        <f t="shared" si="1"/>
        <v>0</v>
      </c>
      <c r="H198" s="1">
        <f t="shared" si="2"/>
        <v>0</v>
      </c>
      <c r="I198" s="40"/>
    </row>
    <row r="199" spans="1:9" s="6" customFormat="1" x14ac:dyDescent="0.2">
      <c r="A199" s="39" t="s">
        <v>56</v>
      </c>
      <c r="B199" s="40">
        <v>2</v>
      </c>
      <c r="C199" s="40">
        <v>2</v>
      </c>
      <c r="D199" s="40"/>
      <c r="E199" s="40">
        <v>1190</v>
      </c>
      <c r="F199" s="1">
        <f t="shared" si="0"/>
        <v>0</v>
      </c>
      <c r="G199" s="1">
        <f t="shared" si="1"/>
        <v>0</v>
      </c>
      <c r="H199" s="1">
        <f t="shared" si="2"/>
        <v>2380</v>
      </c>
      <c r="I199" s="40"/>
    </row>
    <row r="200" spans="1:9" s="6" customFormat="1" x14ac:dyDescent="0.2">
      <c r="A200" s="39"/>
      <c r="B200" s="40"/>
      <c r="C200" s="40"/>
      <c r="D200" s="40"/>
      <c r="E200" s="40"/>
      <c r="F200" s="1">
        <f t="shared" si="0"/>
        <v>0</v>
      </c>
      <c r="G200" s="1">
        <f t="shared" si="1"/>
        <v>0</v>
      </c>
      <c r="H200" s="1">
        <f t="shared" si="2"/>
        <v>0</v>
      </c>
      <c r="I200" s="40"/>
    </row>
    <row r="201" spans="1:9" s="6" customFormat="1" x14ac:dyDescent="0.2">
      <c r="A201" s="39" t="s">
        <v>47</v>
      </c>
      <c r="B201" s="40">
        <v>34</v>
      </c>
      <c r="C201" s="40">
        <v>34</v>
      </c>
      <c r="D201" s="40"/>
      <c r="E201" s="40">
        <v>210</v>
      </c>
      <c r="F201" s="1">
        <f t="shared" si="0"/>
        <v>0</v>
      </c>
      <c r="G201" s="1">
        <f t="shared" si="1"/>
        <v>0</v>
      </c>
      <c r="H201" s="1">
        <f t="shared" si="2"/>
        <v>7140</v>
      </c>
      <c r="I201" s="40"/>
    </row>
    <row r="202" spans="1:9" s="6" customFormat="1" x14ac:dyDescent="0.2">
      <c r="A202" s="39" t="s">
        <v>77</v>
      </c>
      <c r="B202" s="40">
        <v>5</v>
      </c>
      <c r="C202" s="40">
        <v>5</v>
      </c>
      <c r="D202" s="40"/>
      <c r="E202" s="40">
        <v>105</v>
      </c>
      <c r="F202" s="1">
        <f t="shared" si="0"/>
        <v>0</v>
      </c>
      <c r="G202" s="1">
        <f t="shared" si="1"/>
        <v>0</v>
      </c>
      <c r="H202" s="1">
        <f t="shared" si="2"/>
        <v>525</v>
      </c>
      <c r="I202" s="40"/>
    </row>
    <row r="203" spans="1:9" s="6" customFormat="1" x14ac:dyDescent="0.2">
      <c r="A203" s="39"/>
      <c r="B203" s="40"/>
      <c r="C203" s="40"/>
      <c r="D203" s="40"/>
      <c r="E203" s="40"/>
      <c r="F203" s="1">
        <f t="shared" si="0"/>
        <v>0</v>
      </c>
      <c r="G203" s="1">
        <f t="shared" si="1"/>
        <v>0</v>
      </c>
      <c r="H203" s="1">
        <f t="shared" si="2"/>
        <v>0</v>
      </c>
      <c r="I203" s="40"/>
    </row>
    <row r="204" spans="1:9" s="6" customFormat="1" x14ac:dyDescent="0.2">
      <c r="A204" s="39"/>
      <c r="B204" s="40"/>
      <c r="C204" s="40"/>
      <c r="D204" s="40"/>
      <c r="E204" s="40"/>
      <c r="F204" s="1">
        <f t="shared" si="0"/>
        <v>0</v>
      </c>
      <c r="G204" s="1">
        <f t="shared" si="1"/>
        <v>0</v>
      </c>
      <c r="H204" s="1">
        <f t="shared" si="2"/>
        <v>0</v>
      </c>
      <c r="I204" s="40"/>
    </row>
    <row r="205" spans="1:9" s="6" customFormat="1" x14ac:dyDescent="0.2">
      <c r="A205" s="39" t="s">
        <v>170</v>
      </c>
      <c r="B205" s="40">
        <v>1</v>
      </c>
      <c r="C205" s="40">
        <v>1</v>
      </c>
      <c r="D205" s="40"/>
      <c r="E205" s="40">
        <v>550</v>
      </c>
      <c r="F205" s="1">
        <f t="shared" si="0"/>
        <v>0</v>
      </c>
      <c r="G205" s="1">
        <f t="shared" si="1"/>
        <v>0</v>
      </c>
      <c r="H205" s="1">
        <f t="shared" si="2"/>
        <v>550</v>
      </c>
      <c r="I205" s="40"/>
    </row>
    <row r="206" spans="1:9" s="6" customFormat="1" x14ac:dyDescent="0.2">
      <c r="A206" s="39" t="s">
        <v>123</v>
      </c>
      <c r="B206" s="40">
        <v>5</v>
      </c>
      <c r="C206" s="40">
        <v>5</v>
      </c>
      <c r="D206" s="40"/>
      <c r="E206" s="40">
        <v>600</v>
      </c>
      <c r="F206" s="1">
        <f t="shared" si="0"/>
        <v>0</v>
      </c>
      <c r="G206" s="1">
        <f t="shared" si="1"/>
        <v>0</v>
      </c>
      <c r="H206" s="1">
        <f t="shared" si="2"/>
        <v>3000</v>
      </c>
      <c r="I206" s="40"/>
    </row>
    <row r="207" spans="1:9" s="6" customFormat="1" x14ac:dyDescent="0.2">
      <c r="A207" s="39" t="s">
        <v>121</v>
      </c>
      <c r="B207" s="40">
        <v>7</v>
      </c>
      <c r="C207" s="40">
        <v>7</v>
      </c>
      <c r="D207" s="40"/>
      <c r="E207" s="40">
        <v>650</v>
      </c>
      <c r="F207" s="1">
        <f t="shared" si="0"/>
        <v>0</v>
      </c>
      <c r="G207" s="1">
        <f t="shared" si="1"/>
        <v>0</v>
      </c>
      <c r="H207" s="1">
        <f t="shared" si="2"/>
        <v>4550</v>
      </c>
      <c r="I207" s="40"/>
    </row>
    <row r="208" spans="1:9" s="6" customFormat="1" x14ac:dyDescent="0.2">
      <c r="A208" s="39" t="s">
        <v>122</v>
      </c>
      <c r="B208" s="40">
        <v>4</v>
      </c>
      <c r="C208" s="40">
        <v>3</v>
      </c>
      <c r="D208" s="40"/>
      <c r="E208" s="40">
        <v>650</v>
      </c>
      <c r="F208" s="1">
        <f t="shared" si="0"/>
        <v>1</v>
      </c>
      <c r="G208" s="1">
        <f t="shared" si="1"/>
        <v>650</v>
      </c>
      <c r="H208" s="1">
        <f t="shared" si="2"/>
        <v>1950</v>
      </c>
      <c r="I208" s="40"/>
    </row>
    <row r="209" spans="1:9" s="6" customFormat="1" x14ac:dyDescent="0.2">
      <c r="A209" s="39" t="s">
        <v>147</v>
      </c>
      <c r="B209" s="40">
        <v>12</v>
      </c>
      <c r="C209" s="40">
        <v>11</v>
      </c>
      <c r="D209" s="40"/>
      <c r="E209" s="40">
        <v>600</v>
      </c>
      <c r="F209" s="1">
        <f t="shared" si="0"/>
        <v>1</v>
      </c>
      <c r="G209" s="1">
        <f t="shared" si="1"/>
        <v>600</v>
      </c>
      <c r="H209" s="1">
        <f t="shared" si="2"/>
        <v>6600</v>
      </c>
      <c r="I209" s="40"/>
    </row>
    <row r="210" spans="1:9" s="6" customFormat="1" x14ac:dyDescent="0.2">
      <c r="A210" s="39" t="s">
        <v>131</v>
      </c>
      <c r="B210" s="40">
        <v>12</v>
      </c>
      <c r="C210" s="40">
        <v>12</v>
      </c>
      <c r="D210" s="40"/>
      <c r="E210" s="40">
        <v>600</v>
      </c>
      <c r="F210" s="1">
        <f t="shared" si="0"/>
        <v>0</v>
      </c>
      <c r="G210" s="1">
        <f t="shared" si="1"/>
        <v>0</v>
      </c>
      <c r="H210" s="1">
        <f t="shared" si="2"/>
        <v>7200</v>
      </c>
      <c r="I210" s="40"/>
    </row>
    <row r="211" spans="1:9" s="6" customFormat="1" x14ac:dyDescent="0.2">
      <c r="A211" s="39" t="s">
        <v>130</v>
      </c>
      <c r="B211" s="40">
        <v>11</v>
      </c>
      <c r="C211" s="40">
        <v>11</v>
      </c>
      <c r="D211" s="40"/>
      <c r="E211" s="40">
        <v>600</v>
      </c>
      <c r="F211" s="1">
        <f t="shared" si="0"/>
        <v>0</v>
      </c>
      <c r="G211" s="1">
        <f t="shared" si="1"/>
        <v>0</v>
      </c>
      <c r="H211" s="1">
        <f t="shared" si="2"/>
        <v>6600</v>
      </c>
      <c r="I211" s="40"/>
    </row>
    <row r="212" spans="1:9" s="6" customFormat="1" x14ac:dyDescent="0.2">
      <c r="A212" s="39" t="s">
        <v>136</v>
      </c>
      <c r="B212" s="40">
        <v>13</v>
      </c>
      <c r="C212" s="40">
        <v>13</v>
      </c>
      <c r="D212" s="40"/>
      <c r="E212" s="40">
        <v>650</v>
      </c>
      <c r="F212" s="1">
        <f t="shared" si="0"/>
        <v>0</v>
      </c>
      <c r="G212" s="1">
        <f t="shared" si="1"/>
        <v>0</v>
      </c>
      <c r="H212" s="1">
        <f t="shared" si="2"/>
        <v>8450</v>
      </c>
      <c r="I212" s="40"/>
    </row>
    <row r="213" spans="1:9" s="6" customFormat="1" x14ac:dyDescent="0.2">
      <c r="A213" s="39" t="s">
        <v>195</v>
      </c>
      <c r="B213" s="40">
        <v>1</v>
      </c>
      <c r="C213" s="40">
        <v>1</v>
      </c>
      <c r="D213" s="40"/>
      <c r="E213" s="40">
        <v>600</v>
      </c>
      <c r="F213" s="1">
        <f t="shared" si="0"/>
        <v>0</v>
      </c>
      <c r="G213" s="1">
        <f t="shared" si="1"/>
        <v>0</v>
      </c>
      <c r="H213" s="1">
        <f t="shared" si="2"/>
        <v>600</v>
      </c>
      <c r="I213" s="40"/>
    </row>
    <row r="214" spans="1:9" s="6" customFormat="1" x14ac:dyDescent="0.2">
      <c r="A214" s="39"/>
      <c r="B214" s="40"/>
      <c r="C214" s="40"/>
      <c r="D214" s="40"/>
      <c r="E214" s="40"/>
      <c r="F214" s="1"/>
      <c r="G214" s="1"/>
      <c r="H214" s="1"/>
      <c r="I214" s="40"/>
    </row>
    <row r="215" spans="1:9" s="6" customFormat="1" x14ac:dyDescent="0.2">
      <c r="A215" s="39" t="s">
        <v>17</v>
      </c>
      <c r="B215" s="40">
        <v>0</v>
      </c>
      <c r="C215" s="40">
        <v>0</v>
      </c>
      <c r="D215" s="40"/>
      <c r="E215" s="40">
        <v>150</v>
      </c>
      <c r="F215" s="1">
        <f t="shared" si="0"/>
        <v>0</v>
      </c>
      <c r="G215" s="1">
        <f t="shared" si="1"/>
        <v>0</v>
      </c>
      <c r="H215" s="1">
        <f t="shared" si="2"/>
        <v>0</v>
      </c>
      <c r="I215" s="40"/>
    </row>
    <row r="216" spans="1:9" s="6" customFormat="1" x14ac:dyDescent="0.2">
      <c r="A216" s="39"/>
      <c r="B216" s="40"/>
      <c r="C216" s="40"/>
      <c r="D216" s="40"/>
      <c r="E216" s="40">
        <v>0</v>
      </c>
      <c r="F216" s="1">
        <f t="shared" si="0"/>
        <v>0</v>
      </c>
      <c r="G216" s="1">
        <f t="shared" si="1"/>
        <v>0</v>
      </c>
      <c r="H216" s="1">
        <f t="shared" si="2"/>
        <v>0</v>
      </c>
      <c r="I216" s="40"/>
    </row>
    <row r="217" spans="1:9" s="6" customFormat="1" x14ac:dyDescent="0.2">
      <c r="A217" s="39" t="s">
        <v>12</v>
      </c>
      <c r="B217" s="40">
        <v>19</v>
      </c>
      <c r="C217" s="40">
        <v>19</v>
      </c>
      <c r="D217" s="40"/>
      <c r="E217" s="40">
        <v>200</v>
      </c>
      <c r="F217" s="1">
        <f t="shared" si="0"/>
        <v>0</v>
      </c>
      <c r="G217" s="1">
        <f t="shared" si="1"/>
        <v>0</v>
      </c>
      <c r="H217" s="1">
        <f t="shared" si="2"/>
        <v>3800</v>
      </c>
      <c r="I217" s="40"/>
    </row>
    <row r="218" spans="1:9" s="6" customFormat="1" x14ac:dyDescent="0.2">
      <c r="A218" s="39" t="s">
        <v>13</v>
      </c>
      <c r="B218" s="40">
        <v>3</v>
      </c>
      <c r="C218" s="40">
        <v>3</v>
      </c>
      <c r="D218" s="40"/>
      <c r="E218" s="40">
        <v>150</v>
      </c>
      <c r="F218" s="1">
        <f t="shared" si="0"/>
        <v>0</v>
      </c>
      <c r="G218" s="1">
        <f t="shared" si="1"/>
        <v>0</v>
      </c>
      <c r="H218" s="1">
        <f t="shared" si="2"/>
        <v>450</v>
      </c>
      <c r="I218" s="40"/>
    </row>
    <row r="219" spans="1:9" s="6" customFormat="1" x14ac:dyDescent="0.2">
      <c r="A219" s="39" t="s">
        <v>14</v>
      </c>
      <c r="B219" s="40">
        <v>5</v>
      </c>
      <c r="C219" s="40">
        <v>5</v>
      </c>
      <c r="D219" s="40"/>
      <c r="E219" s="40">
        <v>80</v>
      </c>
      <c r="F219" s="1">
        <f t="shared" si="0"/>
        <v>0</v>
      </c>
      <c r="G219" s="1">
        <f t="shared" si="1"/>
        <v>0</v>
      </c>
      <c r="H219" s="1">
        <f t="shared" si="2"/>
        <v>400</v>
      </c>
      <c r="I219" s="40"/>
    </row>
    <row r="220" spans="1:9" s="6" customFormat="1" x14ac:dyDescent="0.2">
      <c r="A220" s="39" t="s">
        <v>114</v>
      </c>
      <c r="B220" s="40">
        <v>7</v>
      </c>
      <c r="C220" s="40">
        <v>7</v>
      </c>
      <c r="D220" s="40"/>
      <c r="E220" s="40">
        <v>80</v>
      </c>
      <c r="F220" s="1">
        <f t="shared" si="0"/>
        <v>0</v>
      </c>
      <c r="G220" s="1">
        <f t="shared" si="1"/>
        <v>0</v>
      </c>
      <c r="H220" s="1">
        <f t="shared" si="2"/>
        <v>560</v>
      </c>
      <c r="I220" s="40"/>
    </row>
    <row r="221" spans="1:9" s="6" customFormat="1" x14ac:dyDescent="0.2">
      <c r="A221" s="39" t="s">
        <v>115</v>
      </c>
      <c r="B221" s="40">
        <v>15</v>
      </c>
      <c r="C221" s="40">
        <v>15</v>
      </c>
      <c r="D221" s="40"/>
      <c r="E221" s="40">
        <v>60</v>
      </c>
      <c r="F221" s="1">
        <f t="shared" si="0"/>
        <v>0</v>
      </c>
      <c r="G221" s="1">
        <f t="shared" si="1"/>
        <v>0</v>
      </c>
      <c r="H221" s="1">
        <f t="shared" si="2"/>
        <v>900</v>
      </c>
      <c r="I221" s="40"/>
    </row>
    <row r="222" spans="1:9" s="6" customFormat="1" x14ac:dyDescent="0.2">
      <c r="A222" s="39" t="s">
        <v>15</v>
      </c>
      <c r="B222" s="40">
        <v>32</v>
      </c>
      <c r="C222" s="40">
        <v>32</v>
      </c>
      <c r="D222" s="40"/>
      <c r="E222" s="40">
        <v>60</v>
      </c>
      <c r="F222" s="1">
        <f t="shared" si="0"/>
        <v>0</v>
      </c>
      <c r="G222" s="1">
        <f t="shared" si="1"/>
        <v>0</v>
      </c>
      <c r="H222" s="1">
        <f t="shared" si="2"/>
        <v>1920</v>
      </c>
      <c r="I222" s="40"/>
    </row>
    <row r="223" spans="1:9" s="6" customFormat="1" x14ac:dyDescent="0.2">
      <c r="A223" s="39" t="s">
        <v>16</v>
      </c>
      <c r="B223" s="40">
        <v>52</v>
      </c>
      <c r="C223" s="40">
        <v>52</v>
      </c>
      <c r="D223" s="40"/>
      <c r="E223" s="40">
        <v>150</v>
      </c>
      <c r="F223" s="1">
        <f t="shared" si="0"/>
        <v>0</v>
      </c>
      <c r="G223" s="1">
        <f t="shared" si="1"/>
        <v>0</v>
      </c>
      <c r="H223" s="1">
        <f t="shared" si="2"/>
        <v>7800</v>
      </c>
      <c r="I223" s="40"/>
    </row>
    <row r="224" spans="1:9" s="6" customFormat="1" x14ac:dyDescent="0.2">
      <c r="A224" s="39" t="s">
        <v>187</v>
      </c>
      <c r="B224" s="40">
        <v>14</v>
      </c>
      <c r="C224" s="40">
        <v>14</v>
      </c>
      <c r="D224" s="40"/>
      <c r="E224" s="40">
        <v>100</v>
      </c>
      <c r="F224" s="1">
        <f t="shared" si="0"/>
        <v>0</v>
      </c>
      <c r="G224" s="1">
        <f t="shared" si="1"/>
        <v>0</v>
      </c>
      <c r="H224" s="1">
        <f t="shared" si="2"/>
        <v>1400</v>
      </c>
      <c r="I224" s="40"/>
    </row>
    <row r="225" spans="1:11" s="6" customFormat="1" x14ac:dyDescent="0.2">
      <c r="A225" s="39" t="s">
        <v>188</v>
      </c>
      <c r="B225" s="40">
        <v>5</v>
      </c>
      <c r="C225" s="40">
        <v>5</v>
      </c>
      <c r="D225" s="40"/>
      <c r="E225" s="40">
        <v>50</v>
      </c>
      <c r="F225" s="1">
        <f t="shared" si="0"/>
        <v>0</v>
      </c>
      <c r="G225" s="1">
        <f t="shared" si="1"/>
        <v>0</v>
      </c>
      <c r="H225" s="1">
        <f t="shared" si="2"/>
        <v>250</v>
      </c>
      <c r="I225" s="40"/>
      <c r="K225" s="44"/>
    </row>
    <row r="226" spans="1:11" s="6" customFormat="1" x14ac:dyDescent="0.2">
      <c r="A226" s="39"/>
      <c r="B226" s="40"/>
      <c r="C226" s="40"/>
      <c r="D226" s="40"/>
      <c r="E226" s="40"/>
      <c r="F226" s="1">
        <f t="shared" si="0"/>
        <v>0</v>
      </c>
      <c r="G226" s="1">
        <f t="shared" si="1"/>
        <v>0</v>
      </c>
      <c r="H226" s="1">
        <f t="shared" si="2"/>
        <v>0</v>
      </c>
      <c r="I226" s="40"/>
    </row>
    <row r="227" spans="1:11" x14ac:dyDescent="0.2">
      <c r="A227" s="28"/>
      <c r="B227" s="29">
        <f>SUM(B3:B226)</f>
        <v>1459</v>
      </c>
      <c r="C227" s="29">
        <f>SUM(C3:C226)</f>
        <v>1342</v>
      </c>
      <c r="D227" s="30">
        <f>SUM(D3:D226)</f>
        <v>40</v>
      </c>
      <c r="E227" s="30"/>
      <c r="F227" s="54">
        <f>SUM(F3:F226)</f>
        <v>77</v>
      </c>
      <c r="G227" s="41">
        <f>SUM(G3:G226)</f>
        <v>63876</v>
      </c>
      <c r="H227" s="42">
        <f>SUM(H3:H226)</f>
        <v>929963</v>
      </c>
      <c r="I227" s="29"/>
    </row>
    <row r="228" spans="1:11" x14ac:dyDescent="0.2">
      <c r="A228" s="28" t="s">
        <v>18</v>
      </c>
      <c r="B228" s="29"/>
      <c r="C228" s="29"/>
      <c r="D228" s="30" t="s">
        <v>19</v>
      </c>
      <c r="E228" s="30" t="s">
        <v>235</v>
      </c>
      <c r="F228" s="41"/>
      <c r="G228" s="41" t="s">
        <v>11</v>
      </c>
      <c r="H228" s="42"/>
      <c r="I228" s="29" t="s">
        <v>236</v>
      </c>
    </row>
    <row r="229" spans="1:11" s="23" customFormat="1" x14ac:dyDescent="0.2">
      <c r="A229" s="2"/>
      <c r="B229" s="34"/>
      <c r="C229" s="1"/>
      <c r="D229" s="1"/>
      <c r="E229" s="1"/>
      <c r="F229" s="1"/>
      <c r="G229" s="1"/>
      <c r="H229" s="1"/>
      <c r="I229" s="34" t="s">
        <v>241</v>
      </c>
    </row>
    <row r="230" spans="1:11" x14ac:dyDescent="0.2">
      <c r="A230" s="32"/>
      <c r="B230" s="33"/>
      <c r="C230" s="31"/>
      <c r="D230" s="43"/>
      <c r="E230" s="33"/>
      <c r="F230" s="25"/>
      <c r="G230" s="24"/>
      <c r="H230" s="33"/>
      <c r="I230" s="26"/>
    </row>
    <row r="231" spans="1:11" x14ac:dyDescent="0.2">
      <c r="A231" s="27"/>
      <c r="B231" s="9"/>
      <c r="C231" s="9"/>
      <c r="D231" s="8"/>
      <c r="E231" s="9"/>
      <c r="F231" s="8"/>
      <c r="G231" s="7"/>
      <c r="H231" s="8"/>
      <c r="I231" s="9"/>
    </row>
    <row r="232" spans="1:11" x14ac:dyDescent="0.2">
      <c r="A232" s="27"/>
      <c r="B232" s="9"/>
      <c r="C232" s="9"/>
      <c r="D232" s="9"/>
      <c r="E232" s="9"/>
      <c r="F232" s="8"/>
      <c r="G232" s="8"/>
      <c r="H232" s="8"/>
      <c r="I232" s="8"/>
    </row>
    <row r="233" spans="1:11" x14ac:dyDescent="0.2">
      <c r="A233" s="27"/>
      <c r="B233" s="9"/>
      <c r="C233" s="9"/>
      <c r="D233" s="9"/>
      <c r="E233" s="9"/>
      <c r="F233" s="8"/>
      <c r="G233" s="8"/>
      <c r="H233" s="8"/>
      <c r="I233" s="8"/>
    </row>
    <row r="234" spans="1:11" x14ac:dyDescent="0.2">
      <c r="A234" s="27"/>
      <c r="B234" s="9"/>
      <c r="C234" s="9"/>
      <c r="D234" s="9"/>
      <c r="E234" s="9"/>
      <c r="F234" s="8"/>
      <c r="G234" s="8"/>
      <c r="H234" s="8"/>
      <c r="I234" s="8"/>
    </row>
    <row r="235" spans="1:11" x14ac:dyDescent="0.2">
      <c r="A235" s="27"/>
      <c r="B235" s="9"/>
      <c r="C235" s="9"/>
      <c r="D235" s="9" t="s">
        <v>36</v>
      </c>
      <c r="E235" s="9"/>
      <c r="F235" s="20"/>
      <c r="G235" s="8"/>
      <c r="H235" s="8"/>
      <c r="I235" s="8"/>
      <c r="K235" s="50"/>
    </row>
    <row r="236" spans="1:11" x14ac:dyDescent="0.2">
      <c r="A236" s="27"/>
      <c r="B236" s="9"/>
      <c r="C236" s="9"/>
      <c r="D236" s="10"/>
      <c r="E236" s="11"/>
      <c r="F236" s="12"/>
      <c r="G236" s="13">
        <v>0</v>
      </c>
      <c r="H236" s="8"/>
      <c r="I236" s="8"/>
    </row>
    <row r="237" spans="1:11" x14ac:dyDescent="0.2">
      <c r="A237" s="27"/>
      <c r="B237" s="14"/>
      <c r="C237" s="14"/>
      <c r="D237" s="14"/>
      <c r="E237" s="14"/>
      <c r="F237" s="14"/>
      <c r="G237" s="15">
        <f>G227-G236</f>
        <v>63876</v>
      </c>
      <c r="H237" s="16"/>
      <c r="I237" s="17" t="s">
        <v>7</v>
      </c>
    </row>
    <row r="238" spans="1:11" x14ac:dyDescent="0.2">
      <c r="A238" s="27"/>
      <c r="B238" s="8"/>
      <c r="C238" s="9"/>
      <c r="D238" s="8"/>
      <c r="E238" s="18" t="s">
        <v>8</v>
      </c>
      <c r="F238" s="19"/>
      <c r="G238" s="18"/>
      <c r="H238" s="8">
        <v>0</v>
      </c>
      <c r="I238" s="17"/>
    </row>
    <row r="239" spans="1:11" x14ac:dyDescent="0.2">
      <c r="A239" s="27"/>
      <c r="B239" s="8"/>
      <c r="C239" s="9"/>
      <c r="D239" s="8"/>
      <c r="E239" s="21"/>
      <c r="F239" s="8"/>
      <c r="G239" s="18">
        <v>0</v>
      </c>
      <c r="H239" s="22"/>
      <c r="I239" s="8"/>
    </row>
    <row r="240" spans="1:11" x14ac:dyDescent="0.2">
      <c r="A240" s="27"/>
      <c r="B240" s="8"/>
      <c r="C240" s="49"/>
      <c r="D240" s="8"/>
      <c r="E240" s="8"/>
      <c r="F240" s="18" t="s">
        <v>9</v>
      </c>
      <c r="G240" s="18">
        <f>G238+G239</f>
        <v>0</v>
      </c>
      <c r="H240" s="8"/>
      <c r="I240" s="8"/>
    </row>
    <row r="241" spans="1:9" x14ac:dyDescent="0.2">
      <c r="A241" s="27"/>
      <c r="B241" s="8"/>
      <c r="C241" s="9"/>
      <c r="D241" s="8" t="s">
        <v>51</v>
      </c>
      <c r="E241" s="8"/>
      <c r="F241" s="18"/>
      <c r="G241" s="18"/>
      <c r="H241" s="8"/>
      <c r="I241" s="8"/>
    </row>
    <row r="242" spans="1:9" x14ac:dyDescent="0.2">
      <c r="A242" s="27"/>
      <c r="B242" s="8"/>
      <c r="C242" s="49"/>
      <c r="D242" s="8" t="s">
        <v>62</v>
      </c>
      <c r="E242" s="8"/>
      <c r="F242" s="18"/>
      <c r="G242" s="18"/>
      <c r="H242" s="8"/>
      <c r="I242" s="8"/>
    </row>
    <row r="243" spans="1:9" x14ac:dyDescent="0.2">
      <c r="A243" s="8"/>
      <c r="B243" s="8"/>
      <c r="C243" s="3"/>
      <c r="D243" s="8" t="s">
        <v>160</v>
      </c>
      <c r="E243" s="8"/>
      <c r="F243" s="18"/>
      <c r="G243" s="18"/>
      <c r="H243" s="8"/>
      <c r="I243" s="8"/>
    </row>
    <row r="244" spans="1:9" x14ac:dyDescent="0.2">
      <c r="A244" s="27"/>
      <c r="B244" s="8"/>
      <c r="C244" s="49"/>
      <c r="D244" s="8"/>
      <c r="E244" s="8"/>
      <c r="F244" s="18"/>
      <c r="G244" s="18"/>
      <c r="H244" s="8"/>
      <c r="I244" s="8"/>
    </row>
    <row r="245" spans="1:9" x14ac:dyDescent="0.2">
      <c r="A245" s="27"/>
      <c r="B245" s="8"/>
      <c r="C245" s="49"/>
      <c r="D245" s="8"/>
      <c r="E245" s="8"/>
      <c r="F245" s="3"/>
      <c r="G245" s="18"/>
      <c r="H245" s="8"/>
      <c r="I245" s="9"/>
    </row>
    <row r="246" spans="1:9" x14ac:dyDescent="0.2">
      <c r="A246" s="27"/>
      <c r="B246" s="8"/>
      <c r="C246" s="49"/>
      <c r="D246" s="8"/>
      <c r="E246" s="8"/>
      <c r="F246" s="3"/>
      <c r="G246" s="18"/>
      <c r="H246" s="8"/>
      <c r="I246" s="8"/>
    </row>
    <row r="247" spans="1:9" x14ac:dyDescent="0.2">
      <c r="A247" s="27"/>
      <c r="B247" s="8"/>
      <c r="C247" s="49"/>
      <c r="D247" s="8"/>
      <c r="E247" s="8"/>
      <c r="F247" s="18"/>
      <c r="G247" s="18"/>
      <c r="H247" s="8"/>
      <c r="I247" s="8"/>
    </row>
    <row r="248" spans="1:9" x14ac:dyDescent="0.2">
      <c r="A248" s="27"/>
      <c r="B248" s="8"/>
      <c r="C248" s="49"/>
      <c r="D248" s="8"/>
      <c r="E248" s="8"/>
      <c r="F248" s="18"/>
      <c r="G248" s="18"/>
      <c r="H248" s="8"/>
      <c r="I248" s="8"/>
    </row>
    <row r="249" spans="1:9" x14ac:dyDescent="0.2">
      <c r="A249" s="27"/>
      <c r="B249" s="8"/>
      <c r="C249" s="49"/>
      <c r="D249" s="8"/>
      <c r="E249" s="8"/>
      <c r="F249" s="18"/>
      <c r="G249" s="18"/>
      <c r="H249" s="8"/>
      <c r="I249" s="8"/>
    </row>
    <row r="250" spans="1:9" x14ac:dyDescent="0.2">
      <c r="A250" s="27"/>
      <c r="B250" s="8"/>
      <c r="C250" s="49"/>
      <c r="D250" s="8" t="s">
        <v>173</v>
      </c>
      <c r="E250" s="8"/>
      <c r="F250" s="18"/>
      <c r="G250" s="18"/>
      <c r="H250" s="8"/>
      <c r="I250" s="8"/>
    </row>
    <row r="251" spans="1:9" x14ac:dyDescent="0.2">
      <c r="A251" s="27"/>
      <c r="B251" s="8"/>
      <c r="C251" s="49"/>
      <c r="D251" s="8"/>
      <c r="E251" s="8"/>
      <c r="F251" s="18"/>
      <c r="G251" s="18"/>
      <c r="H251" s="8"/>
      <c r="I251" s="8"/>
    </row>
    <row r="252" spans="1:9" x14ac:dyDescent="0.2">
      <c r="A252" s="27"/>
      <c r="B252" s="8"/>
      <c r="C252" s="49"/>
      <c r="D252" s="8"/>
      <c r="E252" s="8"/>
      <c r="F252" s="18"/>
      <c r="G252" s="18"/>
      <c r="H252" s="8"/>
      <c r="I252" s="8"/>
    </row>
    <row r="253" spans="1:9" x14ac:dyDescent="0.2">
      <c r="A253" s="27"/>
      <c r="B253" s="8"/>
      <c r="C253" s="49"/>
      <c r="D253" s="8"/>
      <c r="E253" s="8"/>
      <c r="F253" s="3"/>
      <c r="G253" s="18"/>
      <c r="H253" s="8"/>
      <c r="I253" s="8"/>
    </row>
    <row r="254" spans="1:9" x14ac:dyDescent="0.2">
      <c r="A254" s="27"/>
      <c r="B254" s="8"/>
      <c r="C254" s="49"/>
      <c r="D254" s="8"/>
      <c r="E254" s="8"/>
      <c r="F254" s="3"/>
      <c r="G254" s="18"/>
      <c r="H254" s="8"/>
      <c r="I254" s="8"/>
    </row>
    <row r="255" spans="1:9" x14ac:dyDescent="0.2">
      <c r="A255" s="27"/>
      <c r="B255" s="8"/>
      <c r="C255" s="49"/>
      <c r="D255" s="8"/>
      <c r="E255" s="8"/>
      <c r="F255" s="3"/>
      <c r="G255" s="18"/>
      <c r="H255" s="8"/>
      <c r="I255" s="8"/>
    </row>
    <row r="256" spans="1:9" x14ac:dyDescent="0.2">
      <c r="A256" s="27"/>
      <c r="B256" s="8"/>
      <c r="C256" s="49"/>
      <c r="D256" s="8"/>
      <c r="E256" s="8"/>
      <c r="F256" s="3"/>
      <c r="G256" s="18"/>
      <c r="H256" s="8"/>
      <c r="I256" s="8"/>
    </row>
    <row r="257" spans="1:9" x14ac:dyDescent="0.2">
      <c r="A257" s="27"/>
      <c r="B257" s="8"/>
      <c r="C257" s="49"/>
      <c r="D257" s="8"/>
      <c r="E257" s="8"/>
      <c r="F257" s="3"/>
      <c r="G257" s="18"/>
      <c r="H257" s="8"/>
      <c r="I257" s="8"/>
    </row>
    <row r="258" spans="1:9" x14ac:dyDescent="0.2">
      <c r="A258" s="27"/>
      <c r="B258" s="8"/>
      <c r="C258" s="49"/>
      <c r="D258" s="8" t="s">
        <v>185</v>
      </c>
      <c r="E258" s="8"/>
      <c r="F258" s="18"/>
      <c r="G258" s="18"/>
      <c r="H258" s="8"/>
      <c r="I258" s="8"/>
    </row>
    <row r="259" spans="1:9" x14ac:dyDescent="0.2">
      <c r="A259" s="27"/>
      <c r="B259" s="8"/>
      <c r="C259" s="49"/>
      <c r="D259" s="8"/>
      <c r="E259" s="8"/>
      <c r="F259" s="18"/>
      <c r="G259" s="18"/>
      <c r="H259" s="8"/>
      <c r="I259" s="8"/>
    </row>
    <row r="260" spans="1:9" x14ac:dyDescent="0.2">
      <c r="A260" s="27"/>
      <c r="B260" s="8"/>
      <c r="C260" s="49"/>
      <c r="D260" s="8"/>
      <c r="E260" s="8"/>
      <c r="F260" s="18"/>
      <c r="G260" s="18"/>
      <c r="H260" s="8"/>
      <c r="I260" s="8"/>
    </row>
    <row r="261" spans="1:9" x14ac:dyDescent="0.2">
      <c r="A261" s="27"/>
      <c r="B261" s="8"/>
      <c r="C261" s="49"/>
      <c r="D261" s="8"/>
      <c r="E261" s="8"/>
      <c r="F261" s="18"/>
      <c r="G261" s="18"/>
      <c r="H261" s="8"/>
      <c r="I261" s="8"/>
    </row>
    <row r="262" spans="1:9" x14ac:dyDescent="0.2">
      <c r="A262" s="27"/>
      <c r="B262" s="8"/>
      <c r="C262" s="49"/>
      <c r="D262" s="8"/>
      <c r="E262" s="8"/>
      <c r="F262" s="18"/>
      <c r="G262" s="18"/>
      <c r="H262" s="8"/>
      <c r="I262" s="8"/>
    </row>
    <row r="263" spans="1:9" x14ac:dyDescent="0.2">
      <c r="A263" s="27"/>
      <c r="B263" s="8"/>
      <c r="C263" s="49"/>
      <c r="D263" s="8"/>
      <c r="E263" s="8"/>
      <c r="F263" s="18"/>
      <c r="G263" s="18"/>
      <c r="H263" s="8"/>
      <c r="I263" s="8"/>
    </row>
    <row r="264" spans="1:9" x14ac:dyDescent="0.2">
      <c r="A264" s="27"/>
      <c r="B264" s="8"/>
      <c r="C264" s="49"/>
      <c r="D264" s="8"/>
      <c r="E264" s="8"/>
      <c r="F264" s="18"/>
      <c r="G264" s="18"/>
      <c r="H264" s="8"/>
      <c r="I264" s="8"/>
    </row>
    <row r="265" spans="1:9" x14ac:dyDescent="0.2">
      <c r="A265" s="27"/>
      <c r="B265" s="8"/>
      <c r="C265" s="49"/>
      <c r="D265" s="8"/>
      <c r="E265" s="8"/>
      <c r="F265" s="18"/>
      <c r="G265" s="18"/>
      <c r="H265" s="8"/>
      <c r="I265" s="8"/>
    </row>
    <row r="266" spans="1:9" x14ac:dyDescent="0.2">
      <c r="A266" s="27"/>
      <c r="B266" s="8"/>
      <c r="C266" s="49"/>
      <c r="D266" s="8"/>
      <c r="E266" s="8"/>
      <c r="F266" s="18"/>
      <c r="G266" s="18"/>
      <c r="H266" s="8"/>
      <c r="I266" s="8"/>
    </row>
    <row r="267" spans="1:9" x14ac:dyDescent="0.2">
      <c r="A267" s="27"/>
      <c r="B267" s="8"/>
      <c r="C267" s="49"/>
      <c r="D267" s="8"/>
      <c r="E267" s="8"/>
      <c r="F267" s="18"/>
      <c r="G267" s="18"/>
      <c r="H267" s="8"/>
      <c r="I267" s="8"/>
    </row>
    <row r="268" spans="1:9" x14ac:dyDescent="0.2">
      <c r="A268" s="27"/>
      <c r="B268" s="8"/>
      <c r="C268" s="49"/>
      <c r="D268" s="8"/>
      <c r="E268" s="8"/>
      <c r="F268" s="18"/>
      <c r="G268" s="18"/>
      <c r="H268" s="8"/>
      <c r="I268" s="8"/>
    </row>
    <row r="269" spans="1:9" x14ac:dyDescent="0.2">
      <c r="A269" s="27"/>
      <c r="B269" s="8"/>
      <c r="C269" s="49"/>
      <c r="D269" s="8" t="s">
        <v>199</v>
      </c>
      <c r="E269" s="8"/>
      <c r="F269" s="18"/>
      <c r="G269" s="18"/>
      <c r="H269" s="8"/>
      <c r="I269" s="8"/>
    </row>
    <row r="270" spans="1:9" x14ac:dyDescent="0.2">
      <c r="A270" s="27"/>
      <c r="B270" s="8"/>
      <c r="C270" s="49"/>
      <c r="D270" s="8"/>
      <c r="E270" s="8"/>
      <c r="F270" s="18"/>
      <c r="G270" s="18"/>
      <c r="H270" s="8"/>
      <c r="I270" s="8"/>
    </row>
    <row r="271" spans="1:9" x14ac:dyDescent="0.2">
      <c r="A271" s="27"/>
      <c r="B271" s="8"/>
      <c r="C271" s="49"/>
      <c r="D271" s="8"/>
      <c r="E271" s="8"/>
      <c r="F271" s="18"/>
      <c r="G271" s="18"/>
      <c r="H271" s="8"/>
      <c r="I271" s="8"/>
    </row>
    <row r="272" spans="1:9" x14ac:dyDescent="0.2">
      <c r="A272" s="27"/>
      <c r="B272" s="8"/>
      <c r="C272" s="49"/>
      <c r="D272" s="8" t="s">
        <v>237</v>
      </c>
      <c r="E272" s="8"/>
      <c r="F272" s="18"/>
      <c r="G272" s="18"/>
      <c r="H272" s="8"/>
      <c r="I272" s="8"/>
    </row>
    <row r="273" spans="1:9" x14ac:dyDescent="0.2">
      <c r="A273" s="27"/>
      <c r="B273" s="8"/>
      <c r="C273" s="49"/>
      <c r="D273" s="8" t="s">
        <v>206</v>
      </c>
      <c r="E273" s="8"/>
      <c r="F273" s="18"/>
      <c r="G273" s="18"/>
      <c r="H273" s="8"/>
      <c r="I273" s="8"/>
    </row>
    <row r="274" spans="1:9" x14ac:dyDescent="0.2">
      <c r="A274" s="27"/>
      <c r="B274" s="8"/>
      <c r="C274" s="49"/>
      <c r="D274" s="8" t="s">
        <v>231</v>
      </c>
      <c r="E274" s="8"/>
      <c r="F274" s="18"/>
      <c r="G274" s="18"/>
      <c r="H274" s="8"/>
      <c r="I274" s="8"/>
    </row>
    <row r="275" spans="1:9" x14ac:dyDescent="0.2">
      <c r="A275" s="27"/>
      <c r="B275" s="8"/>
      <c r="C275" s="49"/>
      <c r="D275" s="8" t="s">
        <v>231</v>
      </c>
      <c r="E275" s="8"/>
      <c r="F275" s="18"/>
      <c r="G275" s="18"/>
      <c r="H275" s="8"/>
      <c r="I275" s="8"/>
    </row>
    <row r="276" spans="1:9" x14ac:dyDescent="0.2">
      <c r="A276" s="27"/>
      <c r="B276" s="8"/>
      <c r="C276" s="49"/>
      <c r="D276" s="8" t="s">
        <v>207</v>
      </c>
      <c r="E276" s="8"/>
      <c r="F276" s="18"/>
      <c r="G276" s="18"/>
      <c r="H276" s="8"/>
      <c r="I276" s="8"/>
    </row>
    <row r="277" spans="1:9" x14ac:dyDescent="0.2">
      <c r="A277" s="27"/>
      <c r="B277" s="8"/>
      <c r="C277" s="49"/>
      <c r="D277" s="8" t="s">
        <v>208</v>
      </c>
      <c r="E277" s="8"/>
      <c r="F277" s="18"/>
      <c r="G277" s="18"/>
      <c r="H277" s="8"/>
      <c r="I277" s="8"/>
    </row>
    <row r="278" spans="1:9" x14ac:dyDescent="0.2">
      <c r="A278" s="27"/>
      <c r="B278" s="8"/>
      <c r="C278" s="49"/>
      <c r="D278" s="8"/>
      <c r="E278" s="8"/>
      <c r="F278" s="18"/>
      <c r="G278" s="18"/>
      <c r="H278" s="8"/>
      <c r="I278" s="8"/>
    </row>
    <row r="279" spans="1:9" x14ac:dyDescent="0.2">
      <c r="A279" s="27"/>
      <c r="B279" s="8"/>
      <c r="C279" s="49"/>
      <c r="D279" s="8"/>
      <c r="E279" s="8"/>
      <c r="F279" s="18"/>
      <c r="G279" s="18"/>
      <c r="H279" s="8"/>
      <c r="I279" s="8"/>
    </row>
    <row r="280" spans="1:9" x14ac:dyDescent="0.2">
      <c r="A280" s="27"/>
      <c r="B280" s="8"/>
      <c r="C280" s="49"/>
      <c r="D280" s="8"/>
      <c r="E280" s="8"/>
      <c r="F280" s="18"/>
      <c r="G280" s="18"/>
      <c r="H280" s="8"/>
      <c r="I280" s="8"/>
    </row>
    <row r="281" spans="1:9" x14ac:dyDescent="0.2">
      <c r="A281" s="27"/>
      <c r="B281" s="8"/>
      <c r="C281" s="49"/>
      <c r="D281" s="8"/>
      <c r="E281" s="8"/>
      <c r="F281" s="18"/>
      <c r="G281" s="18"/>
      <c r="H281" s="8"/>
      <c r="I281" s="8"/>
    </row>
  </sheetData>
  <printOptions horizontalCentered="1" headings="1" gridLines="1" gridLinesSet="0"/>
  <pageMargins left="0.39370078740157483" right="0.39370078740157483" top="0.9055118110236221" bottom="0.19685039370078741" header="0.51181102362204722" footer="0.51181102362204722"/>
  <pageSetup scale="70" orientation="portrait" horizontalDpi="4294967293" verticalDpi="300" r:id="rId1"/>
  <headerFooter alignWithMargins="0">
    <oddHeader>&amp;CVESTIDOS&amp;R&amp;"Engravers MT,Normal"&amp;12&amp;EMARYANA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rintOptions headings="1" gridLines="1" gridLinesSet="0"/>
  <pageMargins left="0.75" right="0.75" top="1" bottom="1" header="0.511811024" footer="0.511811024"/>
  <headerFooter alignWithMargins="0">
    <oddHeader>&amp;A</oddHeader>
    <oddFooter>Página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rintOptions headings="1" gridLines="1" gridLinesSet="0"/>
  <pageMargins left="0.75" right="0.75" top="1" bottom="1" header="0.511811024" footer="0.511811024"/>
  <headerFooter alignWithMargins="0">
    <oddHeader>&amp;A</oddHeader>
    <oddFooter>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rintOptions headings="1" gridLines="1" gridLinesSet="0"/>
  <pageMargins left="0.75" right="0.75" top="1" bottom="1" header="0.511811024" footer="0.511811024"/>
  <headerFooter alignWithMargins="0">
    <oddHeader>&amp;A</oddHeader>
    <oddFooter>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rintOptions headings="1" gridLines="1" gridLinesSet="0"/>
  <pageMargins left="0.75" right="0.75" top="1" bottom="1" header="0.511811024" footer="0.511811024"/>
  <headerFooter alignWithMargins="0">
    <oddHeader>&amp;A</oddHeader>
    <oddFooter>Página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rintOptions headings="1" gridLines="1" gridLinesSet="0"/>
  <pageMargins left="0.75" right="0.75" top="1" bottom="1" header="0.511811024" footer="0.511811024"/>
  <headerFooter alignWithMargins="0">
    <oddHeader>&amp;A</oddHeader>
    <oddFooter>Página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rintOptions headings="1" gridLines="1" gridLinesSet="0"/>
  <pageMargins left="0.75" right="0.75" top="1" bottom="1" header="0.511811024" footer="0.511811024"/>
  <headerFooter alignWithMargins="0">
    <oddHeader>&amp;A</oddHeader>
    <oddFooter>Página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rintOptions headings="1" gridLines="1" gridLinesSet="0"/>
  <pageMargins left="0.75" right="0.75" top="1" bottom="1" header="0.511811024" footer="0.511811024"/>
  <headerFooter alignWithMargins="0">
    <oddHeader>&amp;A</oddHeader>
    <oddFooter>Página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rintOptions headings="1" gridLines="1" gridLinesSet="0"/>
  <pageMargins left="0.75" right="0.75" top="1" bottom="1" header="0.511811024" footer="0.511811024"/>
  <headerFooter alignWithMargins="0">
    <oddHeader>&amp;A</oddHeader>
    <oddFooter>Página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rintOptions headings="1" gridLines="1" gridLinesSet="0"/>
  <pageMargins left="0.75" right="0.75" top="1" bottom="1" header="0.511811024" footer="0.511811024"/>
  <headerFooter alignWithMargins="0">
    <oddHeader>&amp;A</oddHeader>
    <oddFooter>Página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rintOptions headings="1" gridLines="1" gridLinesSet="0"/>
  <pageMargins left="0.75" right="0.75" top="1" bottom="1" header="0.511811024" footer="0.511811024"/>
  <headerFooter alignWithMargins="0">
    <oddHeader>&amp;A</oddHeader>
    <oddFooter>Página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rintOptions headings="1" gridLines="1" gridLinesSet="0"/>
  <pageMargins left="0.75" right="0.75" top="1" bottom="1" header="0.511811024" footer="0.511811024"/>
  <headerFooter alignWithMargins="0">
    <oddHeader>&amp;A</oddHeader>
    <oddFooter>Página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rintOptions headings="1" gridLines="1" gridLinesSet="0"/>
  <pageMargins left="0.75" right="0.75" top="1" bottom="1" header="0.511811024" footer="0.511811024"/>
  <headerFooter alignWithMargins="0">
    <oddHeader>&amp;A</oddHeader>
    <oddFooter>Página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rintOptions headings="1" gridLines="1" gridLinesSet="0"/>
  <pageMargins left="0.75" right="0.75" top="1" bottom="1" header="0.511811024" footer="0.511811024"/>
  <headerFooter alignWithMargins="0">
    <oddHeader>&amp;A</oddHeader>
    <oddFooter>Página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rintOptions headings="1" gridLines="1" gridLinesSet="0"/>
  <pageMargins left="0.75" right="0.75" top="1" bottom="1" header="0.511811024" footer="0.511811024"/>
  <headerFooter alignWithMargins="0">
    <oddHeader>&amp;A</oddHeader>
    <oddFooter>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1</vt:i4>
      </vt:variant>
    </vt:vector>
  </HeadingPairs>
  <TitlesOfParts>
    <vt:vector size="16" baseType="lpstr">
      <vt:lpstr>Vestidos MARIANA</vt:lpstr>
      <vt:lpstr>Hoja3</vt:lpstr>
      <vt:lpstr>Hoja4</vt:lpstr>
      <vt:lpstr>Hoja5</vt:lpstr>
      <vt:lpstr>Hoja6</vt:lpstr>
      <vt:lpstr>Hoja7</vt:lpstr>
      <vt:lpstr>Hoja8</vt:lpstr>
      <vt:lpstr>Hoja9</vt:lpstr>
      <vt:lpstr>Hoja10</vt:lpstr>
      <vt:lpstr>Hoja11</vt:lpstr>
      <vt:lpstr>Hoja12</vt:lpstr>
      <vt:lpstr>Hoja13</vt:lpstr>
      <vt:lpstr>Hoja14</vt:lpstr>
      <vt:lpstr>Hoja15</vt:lpstr>
      <vt:lpstr>Hoja16</vt:lpstr>
      <vt:lpstr>'Vestidos MARIANA'!Área_de_impresión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LOPEZ VILLA Y CLAUDIA L</dc:creator>
  <cp:lastModifiedBy>claudia</cp:lastModifiedBy>
  <cp:lastPrinted>2018-05-08T17:25:05Z</cp:lastPrinted>
  <dcterms:created xsi:type="dcterms:W3CDTF">2000-10-02T21:19:35Z</dcterms:created>
  <dcterms:modified xsi:type="dcterms:W3CDTF">2018-08-07T16:38:53Z</dcterms:modified>
</cp:coreProperties>
</file>